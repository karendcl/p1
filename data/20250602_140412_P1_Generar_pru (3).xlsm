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andres\My Docs\Grupo de Computacion\Docencia\_PlanE\Curso 2025-2026\05 Doc\01 P1s\"/>
    </mc:Choice>
  </mc:AlternateContent>
  <bookViews>
    <workbookView xWindow="0" yWindow="0" windowWidth="20490" windowHeight="7755"/>
  </bookViews>
  <sheets>
    <sheet name="Llenar datos" sheetId="1" r:id="rId1"/>
    <sheet name="Imprimir" sheetId="2" r:id="rId2"/>
    <sheet name="Listas" sheetId="5" r:id="rId3"/>
    <sheet name="BaseDeDatos" sheetId="4" r:id="rId4"/>
    <sheet name="evals" sheetId="3" r:id="rId5"/>
  </sheets>
  <functionGroups builtInGroupCount="18"/>
  <definedNames>
    <definedName name="_xlnm._FilterDatabase" localSheetId="4" hidden="1">evals!$D$1:$D$117</definedName>
    <definedName name="_xlnm._FilterDatabase" localSheetId="2" hidden="1">Listas!$B$2:$B$117</definedName>
    <definedName name="_xlnm.Print_Area" localSheetId="1">Imprimir!$A$1:$G$93</definedName>
    <definedName name="BBM_Asignaturas">Listas!$G$2:$G$22</definedName>
    <definedName name="BBM_Disciplinas">Listas!$C$2:$C$6</definedName>
    <definedName name="Biología_Asignaturas">Listas!$E$2:$E$46</definedName>
    <definedName name="Biología_Disciplinas">Listas!$B$2:$B$14</definedName>
    <definedName name="Carreras">Listas!$A$2:$A$4</definedName>
    <definedName name="horas_Asig">Listas!#REF!</definedName>
    <definedName name="horasConf">'Llenar datos'!$E$31</definedName>
    <definedName name="horasCP">'Llenar datos'!$I$31</definedName>
    <definedName name="horasEval">evals!$F$19</definedName>
    <definedName name="horasLab">'Llenar datos'!$Q$31</definedName>
    <definedName name="horasSegunPlanE">'Llenar datos'!$B$8</definedName>
    <definedName name="horasSemi">'Llenar datos'!$M$31</definedName>
    <definedName name="horasTotalReal">'Llenar datos'!$T$31</definedName>
    <definedName name="Microbiología_Asignaturas">Listas!$I$2:$I$51</definedName>
    <definedName name="Microbiología_Disciplinas">Listas!$D$2:$D$12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E15" i="1" l="1"/>
  <c r="I15" i="1"/>
  <c r="M15" i="1"/>
  <c r="Q15" i="1"/>
  <c r="S15" i="1"/>
  <c r="E16" i="1"/>
  <c r="I16" i="1"/>
  <c r="M16" i="1"/>
  <c r="Q16" i="1"/>
  <c r="S16" i="1"/>
  <c r="E17" i="1"/>
  <c r="I17" i="1"/>
  <c r="I31" i="1" s="1"/>
  <c r="M17" i="1"/>
  <c r="Q17" i="1"/>
  <c r="S17" i="1"/>
  <c r="E18" i="1"/>
  <c r="T18" i="1" s="1"/>
  <c r="I18" i="1"/>
  <c r="M18" i="1"/>
  <c r="Q18" i="1"/>
  <c r="S18" i="1"/>
  <c r="E19" i="1"/>
  <c r="I19" i="1"/>
  <c r="M19" i="1"/>
  <c r="Q19" i="1"/>
  <c r="S19" i="1"/>
  <c r="E20" i="1"/>
  <c r="I20" i="1"/>
  <c r="M20" i="1"/>
  <c r="Q20" i="1"/>
  <c r="S20" i="1"/>
  <c r="E21" i="1"/>
  <c r="T21" i="1" s="1"/>
  <c r="I21" i="1"/>
  <c r="M21" i="1"/>
  <c r="Q21" i="1"/>
  <c r="S21" i="1"/>
  <c r="E22" i="1"/>
  <c r="I22" i="1"/>
  <c r="M22" i="1"/>
  <c r="Q22" i="1"/>
  <c r="T22" i="1" s="1"/>
  <c r="S22" i="1"/>
  <c r="E23" i="1"/>
  <c r="I23" i="1"/>
  <c r="M23" i="1"/>
  <c r="Q23" i="1"/>
  <c r="S23" i="1"/>
  <c r="E24" i="1"/>
  <c r="I24" i="1"/>
  <c r="M24" i="1"/>
  <c r="Q24" i="1"/>
  <c r="S24" i="1"/>
  <c r="E25" i="1"/>
  <c r="I25" i="1"/>
  <c r="M25" i="1"/>
  <c r="Q25" i="1"/>
  <c r="S25" i="1"/>
  <c r="E26" i="1"/>
  <c r="I26" i="1"/>
  <c r="M26" i="1"/>
  <c r="Q26" i="1"/>
  <c r="S26" i="1"/>
  <c r="E27" i="1"/>
  <c r="I27" i="1"/>
  <c r="M27" i="1"/>
  <c r="Q27" i="1"/>
  <c r="S27" i="1"/>
  <c r="E28" i="1"/>
  <c r="I28" i="1"/>
  <c r="M28" i="1"/>
  <c r="Q28" i="1"/>
  <c r="S28" i="1"/>
  <c r="E29" i="1"/>
  <c r="I29" i="1"/>
  <c r="M29" i="1"/>
  <c r="Q29" i="1"/>
  <c r="S29" i="1"/>
  <c r="E30" i="1"/>
  <c r="I30" i="1"/>
  <c r="M30" i="1"/>
  <c r="Q30" i="1"/>
  <c r="S30" i="1"/>
  <c r="C31" i="1"/>
  <c r="G31" i="1"/>
  <c r="K31" i="1"/>
  <c r="O31" i="1"/>
  <c r="Q31" i="1"/>
  <c r="B7" i="1"/>
  <c r="B24" i="2" l="1"/>
  <c r="T28" i="1"/>
  <c r="T27" i="1"/>
  <c r="T26" i="1"/>
  <c r="T24" i="1"/>
  <c r="T23" i="1"/>
  <c r="T17" i="1"/>
  <c r="M31" i="1"/>
  <c r="T20" i="1"/>
  <c r="T19" i="1"/>
  <c r="T29" i="1"/>
  <c r="T25" i="1"/>
  <c r="T16" i="1"/>
  <c r="T15" i="1"/>
  <c r="T30" i="1"/>
  <c r="S31" i="1"/>
  <c r="E31" i="1"/>
  <c r="T31" i="1" l="1"/>
  <c r="B2" i="2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2" i="3"/>
  <c r="M2" i="3"/>
  <c r="K2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D8" i="2"/>
  <c r="D10" i="2"/>
  <c r="D12" i="2"/>
  <c r="D14" i="2"/>
  <c r="D15" i="2"/>
  <c r="D16" i="2"/>
  <c r="D18" i="2"/>
  <c r="D20" i="2"/>
  <c r="D21" i="2"/>
  <c r="D22" i="2"/>
  <c r="E9" i="2"/>
  <c r="E10" i="2"/>
  <c r="E12" i="2"/>
  <c r="E13" i="2"/>
  <c r="E14" i="2"/>
  <c r="E15" i="2"/>
  <c r="E18" i="2"/>
  <c r="E19" i="2"/>
  <c r="E20" i="2"/>
  <c r="E21" i="2"/>
  <c r="E22" i="2"/>
  <c r="F9" i="2"/>
  <c r="F12" i="2"/>
  <c r="F14" i="2"/>
  <c r="F16" i="2"/>
  <c r="F18" i="2"/>
  <c r="F20" i="2"/>
  <c r="F21" i="2"/>
  <c r="F22" i="2"/>
  <c r="F11" i="2"/>
  <c r="F13" i="2"/>
  <c r="D17" i="2"/>
  <c r="F19" i="2"/>
  <c r="C9" i="2"/>
  <c r="D9" i="2"/>
  <c r="C10" i="2"/>
  <c r="C11" i="2"/>
  <c r="D11" i="2"/>
  <c r="E11" i="2"/>
  <c r="C12" i="2"/>
  <c r="C13" i="2"/>
  <c r="D13" i="2"/>
  <c r="C15" i="2"/>
  <c r="F15" i="2"/>
  <c r="C16" i="2"/>
  <c r="C17" i="2"/>
  <c r="E17" i="2"/>
  <c r="C18" i="2"/>
  <c r="C19" i="2"/>
  <c r="D19" i="2"/>
  <c r="C20" i="2"/>
  <c r="C21" i="2"/>
  <c r="C22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7" i="2"/>
  <c r="I18" i="3" l="1"/>
  <c r="K18" i="3"/>
  <c r="M18" i="3"/>
  <c r="G4" i="3"/>
  <c r="F10" i="2"/>
  <c r="E16" i="2"/>
  <c r="C14" i="2"/>
  <c r="F17" i="2"/>
  <c r="F8" i="2" l="1"/>
  <c r="E8" i="2"/>
  <c r="E7" i="2"/>
  <c r="D7" i="2"/>
  <c r="C7" i="2" l="1"/>
  <c r="G2" i="3"/>
  <c r="C8" i="2"/>
  <c r="G3" i="3"/>
  <c r="B28" i="2"/>
  <c r="F7" i="2"/>
  <c r="B27" i="2"/>
  <c r="B25" i="2"/>
  <c r="B26" i="2"/>
  <c r="B5" i="2"/>
  <c r="G18" i="3" l="1"/>
  <c r="F19" i="3" s="1"/>
  <c r="B29" i="2" s="1"/>
  <c r="F4" i="2"/>
  <c r="F3" i="2"/>
  <c r="F2" i="2"/>
  <c r="B4" i="2"/>
  <c r="B3" i="2"/>
  <c r="B30" i="2" l="1"/>
</calcChain>
</file>

<file path=xl/sharedStrings.xml><?xml version="1.0" encoding="utf-8"?>
<sst xmlns="http://schemas.openxmlformats.org/spreadsheetml/2006/main" count="871" uniqueCount="251">
  <si>
    <t>Planificación de la Docencia (P1)</t>
  </si>
  <si>
    <t>Asignatura:</t>
  </si>
  <si>
    <t>Año:</t>
  </si>
  <si>
    <t>Curso:</t>
  </si>
  <si>
    <t>Profesor Responsable:</t>
  </si>
  <si>
    <t>Carrera:</t>
  </si>
  <si>
    <t>Disciplina:</t>
  </si>
  <si>
    <t>Semestre:</t>
  </si>
  <si>
    <t>Conferencias</t>
  </si>
  <si>
    <t>Horas</t>
  </si>
  <si>
    <t>Clases Prácticas</t>
  </si>
  <si>
    <t>Seminarios</t>
  </si>
  <si>
    <t>Cantidad</t>
  </si>
  <si>
    <t>Subtotales</t>
  </si>
  <si>
    <t>Correo:</t>
  </si>
  <si>
    <t>Laboratorios</t>
  </si>
  <si>
    <t>Carreras</t>
  </si>
  <si>
    <t>BBM</t>
  </si>
  <si>
    <t>Microbiología</t>
  </si>
  <si>
    <t>Biología</t>
  </si>
  <si>
    <t>Disciplinas</t>
  </si>
  <si>
    <t>Horas según planE:</t>
  </si>
  <si>
    <t>Años</t>
  </si>
  <si>
    <t>Semestres</t>
  </si>
  <si>
    <t>1ro</t>
  </si>
  <si>
    <t>2do</t>
  </si>
  <si>
    <t>Asiganturas</t>
  </si>
  <si>
    <t>Semana</t>
  </si>
  <si>
    <t>Biofísica</t>
  </si>
  <si>
    <t>Curso25-26</t>
  </si>
  <si>
    <t>Curso</t>
  </si>
  <si>
    <t>Curso26-27</t>
  </si>
  <si>
    <t>Curso27-28</t>
  </si>
  <si>
    <t>Curso28-29</t>
  </si>
  <si>
    <t>Conferencias:</t>
  </si>
  <si>
    <t>horas</t>
  </si>
  <si>
    <t>Seminarios:</t>
  </si>
  <si>
    <t>Laboratorios:</t>
  </si>
  <si>
    <t>Evaluaciones:</t>
  </si>
  <si>
    <t>Total:</t>
  </si>
  <si>
    <t>horas (Debe coincidir con las horas declaradas en el Plan de Estudio)</t>
  </si>
  <si>
    <t>No. Conferencias y horas
 y horas</t>
  </si>
  <si>
    <t xml:space="preserve">No. CP  y horas
</t>
  </si>
  <si>
    <t>No. Seminarios y 
horas</t>
  </si>
  <si>
    <t>No. Laboratorios y
 horas</t>
  </si>
  <si>
    <t>Responsable:</t>
  </si>
  <si>
    <t>Clases Práct:</t>
  </si>
  <si>
    <t>Horas/cu</t>
  </si>
  <si>
    <t>Horas/semana</t>
  </si>
  <si>
    <t>actividades/semana</t>
  </si>
  <si>
    <t>Totales</t>
  </si>
  <si>
    <t xml:space="preserve"> y científica, y horas de docencia directa)</t>
  </si>
  <si>
    <t>1)</t>
  </si>
  <si>
    <t>2)</t>
  </si>
  <si>
    <r>
      <t xml:space="preserve">- </t>
    </r>
    <r>
      <rPr>
        <b/>
        <sz val="11"/>
        <color theme="1"/>
        <rFont val="Calibri"/>
        <family val="2"/>
        <scheme val="minor"/>
      </rPr>
      <t>Nombre de todos los profesores que participan en la asignatura: (Especificar categoría docente</t>
    </r>
  </si>
  <si>
    <t xml:space="preserve">- Especificar las necesidades de horarios, días en que no se puede impartir la asignatura: </t>
  </si>
  <si>
    <t>- Especificar si algunos de los profesores participa en otra(s) asignatura(s):</t>
  </si>
  <si>
    <t>- Especificar si los seminarios, clases prácticas y laboratorios se van a impartir al año completo,</t>
  </si>
  <si>
    <t>por grupos o subgrupos:</t>
  </si>
  <si>
    <t xml:space="preserve">- Necesidad del uso del aula de computación o de laboratorios docentes, indicar semanas: </t>
  </si>
  <si>
    <t xml:space="preserve">- Especificar si alguna actividad docente se va a realizar fuera de la Facultad, horas necesarias y </t>
  </si>
  <si>
    <t>semanas. Definir si a la actividad va el año completo el mismo día:</t>
  </si>
  <si>
    <t>- En las asignaturas que tienen Trabajo de Curso, especificar si lo hace el año completo el mismo</t>
  </si>
  <si>
    <t/>
  </si>
  <si>
    <t>día o por grupos:</t>
  </si>
  <si>
    <t>- Especificar si es necesario que las conferencias siempre se impartan, antes de las clases</t>
  </si>
  <si>
    <t>prácticas y/o seminarios en la misma semana:</t>
  </si>
  <si>
    <t>Firma J'Dpto</t>
  </si>
  <si>
    <t>_______________</t>
  </si>
  <si>
    <t xml:space="preserve"> Firma del Jefe del Colectivo de la Asignatura</t>
  </si>
  <si>
    <t>E</t>
  </si>
  <si>
    <t>Conf</t>
  </si>
  <si>
    <t>CP</t>
  </si>
  <si>
    <t>LAB</t>
  </si>
  <si>
    <t>SEM</t>
  </si>
  <si>
    <t>HorasEval</t>
  </si>
  <si>
    <t>Andrés Machado</t>
  </si>
  <si>
    <t>andres@fbio.uh.cu</t>
  </si>
  <si>
    <t>Instrucciones:</t>
  </si>
  <si>
    <t>- Llene los datos en esta hoja. El resto de las hojas no se pueden modificar.</t>
  </si>
  <si>
    <t>- Para minimizar los errores, al introducir los datos, siempre que sea posible utilice las listas despleglables que aparezcan.</t>
  </si>
  <si>
    <t>- Indique la cantidad y la duración de cada tipo actividad. La hoja calculará el resto de la información, ya sea por semana o por tipo de actividad.</t>
  </si>
  <si>
    <t xml:space="preserve"> La hoja calculará la cantidad de horas dedicadas a las evaluaciones parciales.</t>
  </si>
  <si>
    <t>- Marque las actividades evaluativas parciales seleccionando las casillas correspondientes a las columnas identificadas con la letra E (de Evaluación).</t>
  </si>
  <si>
    <t>- Todos los datos se organizan en la hoja llamada "Imprimir" que sigue el modelo P1 establecido por VDD</t>
  </si>
  <si>
    <t>Computación</t>
  </si>
  <si>
    <t>Matemática Superior y Computación</t>
  </si>
  <si>
    <t>Marxismo-Leninismo</t>
  </si>
  <si>
    <t>Cálculo diferencial</t>
  </si>
  <si>
    <t>Cálculo integral y ecuaciones diferenciales</t>
  </si>
  <si>
    <t>Economía Política</t>
  </si>
  <si>
    <t>Filosofía y Sociedad</t>
  </si>
  <si>
    <t>Teoría Socio Política</t>
  </si>
  <si>
    <t>Problemas sociales de la ciencia y la técnica</t>
  </si>
  <si>
    <t>Historia de Cuba</t>
  </si>
  <si>
    <t>Preparación para la Defensa</t>
  </si>
  <si>
    <t>Seguridad y Defensa Nacional</t>
  </si>
  <si>
    <t>Educación Física</t>
  </si>
  <si>
    <t>Física</t>
  </si>
  <si>
    <t>Mecánica Y Electromagnetismo</t>
  </si>
  <si>
    <t>Óptica y Física Moderna</t>
  </si>
  <si>
    <t>Química</t>
  </si>
  <si>
    <t>Análisis Químico</t>
  </si>
  <si>
    <t>Química Orgánica</t>
  </si>
  <si>
    <t>Química Física</t>
  </si>
  <si>
    <t>Biología Molecular y Celular</t>
  </si>
  <si>
    <t>Biomoléculas</t>
  </si>
  <si>
    <t>Biología Celular</t>
  </si>
  <si>
    <t>Inmunología</t>
  </si>
  <si>
    <t>Metabolismo</t>
  </si>
  <si>
    <t>Procariontes</t>
  </si>
  <si>
    <t>Virología</t>
  </si>
  <si>
    <t>Biología Animal y Humana</t>
  </si>
  <si>
    <t>Antropología Biológica</t>
  </si>
  <si>
    <t>Fisiología de los Sistemas de Control</t>
  </si>
  <si>
    <t>Fisiología de los Sistemas Vegetativos</t>
  </si>
  <si>
    <t>Zoología de Cordados</t>
  </si>
  <si>
    <t>Zoología de Invertebrados</t>
  </si>
  <si>
    <t>Morfología Animal</t>
  </si>
  <si>
    <t>Biología Vegetal</t>
  </si>
  <si>
    <t>Botánica General</t>
  </si>
  <si>
    <t>Hongos</t>
  </si>
  <si>
    <t>Algas</t>
  </si>
  <si>
    <t>Fisiología Vegetal</t>
  </si>
  <si>
    <t>Sistemática de Plantas</t>
  </si>
  <si>
    <t>Ecología</t>
  </si>
  <si>
    <t>Biología de la Conservación</t>
  </si>
  <si>
    <t>Genética y Evolución</t>
  </si>
  <si>
    <t>Biología del Desarrollo</t>
  </si>
  <si>
    <t>Genética Molecular</t>
  </si>
  <si>
    <t>Genética</t>
  </si>
  <si>
    <t>Biología Evolutiva</t>
  </si>
  <si>
    <t>Biología Aplicada y Experimental</t>
  </si>
  <si>
    <t>Trabajo Biológico de Campo</t>
  </si>
  <si>
    <t>Bioestadística</t>
  </si>
  <si>
    <t>Prácticas Investigativas de Ecología</t>
  </si>
  <si>
    <t>Práctica Laboral</t>
  </si>
  <si>
    <t>Metodología de la Investigación</t>
  </si>
  <si>
    <t>Trabajo de Diploma</t>
  </si>
  <si>
    <t>AsignaturaBBM1</t>
  </si>
  <si>
    <t>AsignaturaBBM2</t>
  </si>
  <si>
    <t>AsignaturaBBM3</t>
  </si>
  <si>
    <t>AsignaturaBBM4</t>
  </si>
  <si>
    <t>AsignaturaBBM5</t>
  </si>
  <si>
    <t>AsignaturaBBM6</t>
  </si>
  <si>
    <t>AsignaturaBBM7</t>
  </si>
  <si>
    <t>AsignaturaBBM8</t>
  </si>
  <si>
    <t>AsignaturaBBM9</t>
  </si>
  <si>
    <t>AsignaturaBBM10</t>
  </si>
  <si>
    <t>AsignaturaBBM11</t>
  </si>
  <si>
    <t>AsignaturaBBM12</t>
  </si>
  <si>
    <t>AsignaturaBBM13</t>
  </si>
  <si>
    <t>AsignaturaBBM14</t>
  </si>
  <si>
    <t>AsignaturaBBM15</t>
  </si>
  <si>
    <t>AsignaturaBBM16</t>
  </si>
  <si>
    <t>AsignaturaBBM17</t>
  </si>
  <si>
    <t>AsignaturaBBM18</t>
  </si>
  <si>
    <t>AsignaturaBBM19</t>
  </si>
  <si>
    <t>AsignaturaBBM20</t>
  </si>
  <si>
    <t>AsignaturaBBM21</t>
  </si>
  <si>
    <t>DisciplinaBBM1</t>
  </si>
  <si>
    <t>DisciplinaBBM2</t>
  </si>
  <si>
    <t>DisciplinaBBM3</t>
  </si>
  <si>
    <t>DisciplinaBBM4</t>
  </si>
  <si>
    <t>DisciplinaBBM5</t>
  </si>
  <si>
    <t>DisciplinaMicro1</t>
  </si>
  <si>
    <t>DisciplinaMicro2</t>
  </si>
  <si>
    <t>DisciplinaMicro3</t>
  </si>
  <si>
    <t>DisciplinaMicro4</t>
  </si>
  <si>
    <t>DisciplinaMicro5</t>
  </si>
  <si>
    <t>DisciplinaMicro6</t>
  </si>
  <si>
    <t>DisciplinaMicro7</t>
  </si>
  <si>
    <t>DisciplinaMicro8</t>
  </si>
  <si>
    <t>DisciplinaMicro9</t>
  </si>
  <si>
    <t>DisciplinaMicro10</t>
  </si>
  <si>
    <t>DisciplinaMicro11</t>
  </si>
  <si>
    <t>AsignaturaMICRO1</t>
  </si>
  <si>
    <t>AsignaturaMICRO2</t>
  </si>
  <si>
    <t>AsignaturaMICRO3</t>
  </si>
  <si>
    <t>AsignaturaMICRO4</t>
  </si>
  <si>
    <t>AsignaturaMICRO5</t>
  </si>
  <si>
    <t>AsignaturaMICRO6</t>
  </si>
  <si>
    <t>AsignaturaMICRO7</t>
  </si>
  <si>
    <t>AsignaturaMICRO8</t>
  </si>
  <si>
    <t>AsignaturaMICRO9</t>
  </si>
  <si>
    <t>AsignaturaMICRO10</t>
  </si>
  <si>
    <t>AsignaturaMICRO11</t>
  </si>
  <si>
    <t>AsignaturaMICRO12</t>
  </si>
  <si>
    <t>AsignaturaMICRO13</t>
  </si>
  <si>
    <t>AsignaturaMICRO14</t>
  </si>
  <si>
    <t>AsignaturaMICRO15</t>
  </si>
  <si>
    <t>AsignaturaMICRO16</t>
  </si>
  <si>
    <t>AsignaturaMICRO17</t>
  </si>
  <si>
    <t>AsignaturaMICRO18</t>
  </si>
  <si>
    <t>AsignaturaMICRO19</t>
  </si>
  <si>
    <t>AsignaturaMICRO20</t>
  </si>
  <si>
    <t>AsignaturaMICRO21</t>
  </si>
  <si>
    <t>AsignaturaMICRO22</t>
  </si>
  <si>
    <t>AsignaturaMICRO23</t>
  </si>
  <si>
    <t>AsignaturaMICRO24</t>
  </si>
  <si>
    <t>AsignaturaMICRO25</t>
  </si>
  <si>
    <t>AsignaturaMICRO26</t>
  </si>
  <si>
    <t>AsignaturaMICRO27</t>
  </si>
  <si>
    <t>AsignaturaMICRO28</t>
  </si>
  <si>
    <t>AsignaturaMICRO29</t>
  </si>
  <si>
    <t>AsignaturaMICRO30</t>
  </si>
  <si>
    <t>AsignaturaMICRO31</t>
  </si>
  <si>
    <t>AsignaturaMICRO32</t>
  </si>
  <si>
    <t>AsignaturaMICRO33</t>
  </si>
  <si>
    <t>AsignaturaMICRO34</t>
  </si>
  <si>
    <t>AsignaturaMICRO35</t>
  </si>
  <si>
    <t>AsignaturaMICRO36</t>
  </si>
  <si>
    <t>AsignaturaMICRO37</t>
  </si>
  <si>
    <t>AsignaturaMICRO38</t>
  </si>
  <si>
    <t>AsignaturaMICRO39</t>
  </si>
  <si>
    <t>AsignaturaMICRO40</t>
  </si>
  <si>
    <t>AsignaturaMICRO41</t>
  </si>
  <si>
    <t>AsignaturaMICRO42</t>
  </si>
  <si>
    <t>AsignaturaMICRO43</t>
  </si>
  <si>
    <t>AsignaturaMICRO44</t>
  </si>
  <si>
    <t>AsignaturaMICRO45</t>
  </si>
  <si>
    <t>AsignaturaMICRO46</t>
  </si>
  <si>
    <t>AsignaturaMICRO47</t>
  </si>
  <si>
    <t>AsignaturaMICRO48</t>
  </si>
  <si>
    <t>AsignaturaMICRO49</t>
  </si>
  <si>
    <t>AsignaturaMICRO50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</si>
  <si>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</si>
  <si>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</si>
  <si>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</si>
  <si>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</si>
  <si>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</si>
  <si>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</si>
  <si>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</si>
  <si>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</si>
  <si>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</si>
  <si>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</si>
  <si>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</si>
  <si>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</si>
  <si>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</si>
  <si>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</si>
  <si>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</si>
  <si>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</si>
  <si>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Abreviatura:</t>
  </si>
  <si>
    <t>Biología_Disciplinas</t>
  </si>
  <si>
    <t>BBM_Disciplinas</t>
  </si>
  <si>
    <t>Microbiología_Disciplinas</t>
  </si>
  <si>
    <t>Biología_Asignaturas</t>
  </si>
  <si>
    <t>BBM_Asignaturas</t>
  </si>
  <si>
    <t>Microbiología_Asignaturas</t>
  </si>
  <si>
    <t>Todas_Asignaturas</t>
  </si>
  <si>
    <t>Todas_boras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</si>
</sst>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0" fontId="1" fillId="0" borderId="7" xfId="0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10" xfId="0" applyBorder="1" applyProtection="1"/>
    <xf numFmtId="0" fontId="0" fillId="0" borderId="9" xfId="0" applyBorder="1" applyAlignment="1" applyProtection="1">
      <alignment horizontal="center"/>
    </xf>
    <xf numFmtId="0" fontId="0" fillId="0" borderId="8" xfId="0" applyBorder="1" applyProtection="1"/>
    <xf numFmtId="0" fontId="1" fillId="0" borderId="0" xfId="0" applyFont="1" applyAlignment="1" applyProtection="1">
      <alignment horizontal="left"/>
      <protection locked="0"/>
    </xf>
    <xf numFmtId="0" fontId="0" fillId="0" borderId="14" xfId="0" applyBorder="1" applyProtection="1">
      <protection locked="0"/>
    </xf>
    <xf numFmtId="0" fontId="0" fillId="2" borderId="6" xfId="0" applyFill="1" applyBorder="1" applyProtection="1"/>
    <xf numFmtId="0" fontId="0" fillId="2" borderId="9" xfId="0" applyFill="1" applyBorder="1" applyProtection="1"/>
    <xf numFmtId="0" fontId="0" fillId="3" borderId="18" xfId="0" applyFill="1" applyBorder="1" applyAlignment="1" applyProtection="1">
      <alignment wrapText="1"/>
    </xf>
    <xf numFmtId="0" fontId="0" fillId="3" borderId="15" xfId="0" applyFill="1" applyBorder="1" applyAlignment="1" applyProtection="1">
      <alignment wrapText="1"/>
    </xf>
    <xf numFmtId="0" fontId="0" fillId="0" borderId="0" xfId="0" applyBorder="1" applyProtection="1">
      <protection locked="0"/>
    </xf>
    <xf numFmtId="0" fontId="0" fillId="0" borderId="15" xfId="0" applyBorder="1" applyProtection="1">
      <protection locked="0"/>
    </xf>
    <xf numFmtId="0" fontId="1" fillId="0" borderId="22" xfId="0" applyFont="1" applyBorder="1" applyAlignment="1" applyProtection="1">
      <alignment horizontal="center"/>
    </xf>
    <xf numFmtId="0" fontId="1" fillId="0" borderId="21" xfId="0" applyFont="1" applyBorder="1" applyAlignment="1" applyProtection="1">
      <alignment horizontal="center"/>
    </xf>
    <xf numFmtId="0" fontId="1" fillId="0" borderId="16" xfId="0" applyFont="1" applyBorder="1" applyAlignment="1" applyProtection="1">
      <alignment horizontal="center"/>
    </xf>
    <xf numFmtId="0" fontId="1" fillId="0" borderId="17" xfId="0" applyFont="1" applyBorder="1" applyAlignment="1" applyProtection="1">
      <alignment horizontal="center"/>
    </xf>
    <xf numFmtId="0" fontId="0" fillId="0" borderId="0" xfId="0" quotePrefix="1" applyAlignment="1" applyProtection="1">
      <alignment horizontal="left"/>
      <protection locked="0"/>
    </xf>
    <xf numFmtId="0" fontId="1" fillId="0" borderId="0" xfId="0" quotePrefix="1" applyFont="1" applyAlignment="1" applyProtection="1">
      <alignment horizontal="left"/>
      <protection locked="0"/>
    </xf>
    <xf numFmtId="0" fontId="0" fillId="0" borderId="0" xfId="0" quotePrefix="1" applyProtection="1">
      <protection locked="0"/>
    </xf>
    <xf numFmtId="0" fontId="1" fillId="0" borderId="0" xfId="0" quotePrefix="1" applyFont="1" applyProtection="1">
      <protection locked="0"/>
    </xf>
    <xf numFmtId="0" fontId="1" fillId="0" borderId="13" xfId="0" applyFont="1" applyBorder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1" fillId="0" borderId="0" xfId="0" applyFont="1" applyProtection="1"/>
    <xf numFmtId="0" fontId="0" fillId="0" borderId="12" xfId="0" applyBorder="1" applyAlignment="1" applyProtection="1">
      <alignment horizontal="center"/>
    </xf>
    <xf numFmtId="0" fontId="0" fillId="0" borderId="12" xfId="0" applyBorder="1" applyAlignment="1" applyProtection="1">
      <alignment horizontal="center" wrapText="1"/>
    </xf>
    <xf numFmtId="0" fontId="1" fillId="0" borderId="23" xfId="0" applyFont="1" applyBorder="1" applyAlignment="1" applyProtection="1">
      <alignment horizontal="center"/>
    </xf>
    <xf numFmtId="0" fontId="1" fillId="0" borderId="24" xfId="0" applyFont="1" applyBorder="1" applyAlignment="1" applyProtection="1">
      <alignment horizontal="center"/>
    </xf>
    <xf numFmtId="0" fontId="3" fillId="0" borderId="0" xfId="1" applyAlignment="1" applyProtection="1">
      <alignment horizontal="left"/>
      <protection locked="0"/>
    </xf>
    <xf numFmtId="0" fontId="4" fillId="0" borderId="0" xfId="0" applyFont="1" applyAlignment="1">
      <alignment vertical="center"/>
    </xf>
    <xf numFmtId="0" fontId="0" fillId="0" borderId="26" xfId="0" applyBorder="1" applyAlignment="1" applyProtection="1">
      <alignment horizontal="center"/>
    </xf>
    <xf numFmtId="0" fontId="2" fillId="0" borderId="27" xfId="0" applyFont="1" applyBorder="1" applyProtection="1"/>
    <xf numFmtId="0" fontId="1" fillId="0" borderId="0" xfId="0" applyFont="1" applyBorder="1" applyProtection="1"/>
    <xf numFmtId="0" fontId="1" fillId="0" borderId="19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25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28" xfId="0" applyFont="1" applyFill="1" applyBorder="1" applyAlignment="1" applyProtection="1">
      <alignment horizontal="left"/>
    </xf>
    <xf numFmtId="0" fontId="0" fillId="0" borderId="29" xfId="0" applyBorder="1" applyAlignment="1" applyProtection="1">
      <alignment horizontal="center"/>
    </xf>
    <xf numFmtId="0" fontId="0" fillId="0" borderId="0" xfId="0" applyAlignment="1" applyProtection="1">
      <alignment horizontal="left"/>
    </xf>
  </cellXfs>
  <cellStyles count="2">
    <cellStyle name="Hipervínculo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evals!$F$2" lockText="1" noThreeD="1"/>
</file>

<file path=xl/ctrlProps/ctrlProp2.xml><?xml version="1.0" encoding="utf-8"?>
<formControlPr xmlns="http://schemas.microsoft.com/office/spreadsheetml/2009/9/main" objectType="CheckBox" fmlaLink="evals!$F$3" lockText="1" noThreeD="1"/>
</file>

<file path=xl/ctrlProps/ctrlProp3.xml><?xml version="1.0" encoding="utf-8"?>
<formControlPr xmlns="http://schemas.microsoft.com/office/spreadsheetml/2009/9/main" objectType="CheckBox" fmlaLink="evals!$F$4" lockText="1" noThreeD="1"/>
</file>

<file path=xl/ctrlProps/ctrlProp4.xml><?xml version="1.0" encoding="utf-8"?>
<formControlPr xmlns="http://schemas.microsoft.com/office/spreadsheetml/2009/9/main" objectType="CheckBox" fmlaLink="evals!$F$5" lockText="1" noThreeD="1"/>
</file>

<file path=xl/ctrlProps/ctrlProp5.xml><?xml version="1.0" encoding="utf-8"?>
<formControlPr xmlns="http://schemas.microsoft.com/office/spreadsheetml/2009/9/main" objectType="CheckBox" fmlaLink="evals!$F$6" lockText="1" noThreeD="1"/>
</file>

<file path=xl/ctrlProps/ctrlProp6.xml><?xml version="1.0" encoding="utf-8"?>
<formControlPr xmlns="http://schemas.microsoft.com/office/spreadsheetml/2009/9/main" objectType="CheckBox" fmlaLink="evals!$F$7" lockText="1" noThreeD="1"/>
</file>

<file path=xl/ctrlProps/ctrlProp7.xml><?xml version="1.0" encoding="utf-8"?>
<formControlPr xmlns="http://schemas.microsoft.com/office/spreadsheetml/2009/9/main" objectType="CheckBox" fmlaLink="evals!$F$8" lockText="1" noThreeD="1"/>
</file>

<file path=xl/ctrlProps/ctrlProp8.xml><?xml version="1.0" encoding="utf-8"?>
<formControlPr xmlns="http://schemas.microsoft.com/office/spreadsheetml/2009/9/main" objectType="CheckBox" fmlaLink="evals!$F$9" lockText="1" noThreeD="1"/>
</file>

<file path=xl/ctrlProps/ctrlProp9.xml><?xml version="1.0" encoding="utf-8"?>
<formControlPr xmlns="http://schemas.microsoft.com/office/spreadsheetml/2009/9/main" objectType="CheckBox" fmlaLink="evals!$F$10" lockText="1" noThreeD="1"/>
</file>

<file path=xl/ctrlProps/ctrlProp10.xml><?xml version="1.0" encoding="utf-8"?>
<formControlPr xmlns="http://schemas.microsoft.com/office/spreadsheetml/2009/9/main" objectType="CheckBox" fmlaLink="evals!$F$11" lockText="1" noThreeD="1"/>
</file>

<file path=xl/ctrlProps/ctrlProp11.xml><?xml version="1.0" encoding="utf-8"?>
<formControlPr xmlns="http://schemas.microsoft.com/office/spreadsheetml/2009/9/main" objectType="CheckBox" fmlaLink="evals!$F$12" lockText="1" noThreeD="1"/>
</file>

<file path=xl/ctrlProps/ctrlProp12.xml><?xml version="1.0" encoding="utf-8"?>
<formControlPr xmlns="http://schemas.microsoft.com/office/spreadsheetml/2009/9/main" objectType="CheckBox" fmlaLink="evals!$F$13" lockText="1" noThreeD="1"/>
</file>

<file path=xl/ctrlProps/ctrlProp13.xml><?xml version="1.0" encoding="utf-8"?>
<formControlPr xmlns="http://schemas.microsoft.com/office/spreadsheetml/2009/9/main" objectType="CheckBox" fmlaLink="evals!$F$14" lockText="1" noThreeD="1"/>
</file>

<file path=xl/ctrlProps/ctrlProp14.xml><?xml version="1.0" encoding="utf-8"?>
<formControlPr xmlns="http://schemas.microsoft.com/office/spreadsheetml/2009/9/main" objectType="CheckBox" fmlaLink="evals!$F$15" lockText="1" noThreeD="1"/>
</file>

<file path=xl/ctrlProps/ctrlProp15.xml><?xml version="1.0" encoding="utf-8"?>
<formControlPr xmlns="http://schemas.microsoft.com/office/spreadsheetml/2009/9/main" objectType="CheckBox" fmlaLink="evals!$F$16" lockText="1" noThreeD="1"/>
</file>

<file path=xl/ctrlProps/ctrlProp16.xml><?xml version="1.0" encoding="utf-8"?>
<formControlPr xmlns="http://schemas.microsoft.com/office/spreadsheetml/2009/9/main" objectType="CheckBox" fmlaLink="evals!$F$17" lockText="1" noThreeD="1"/>
</file>

<file path=xl/ctrlProps/ctrlProp17.xml><?xml version="1.0" encoding="utf-8"?>
<formControlPr xmlns="http://schemas.microsoft.com/office/spreadsheetml/2009/9/main" objectType="CheckBox" fmlaLink="evals!$H$2" lockText="1" noThreeD="1"/>
</file>

<file path=xl/ctrlProps/ctrlProp18.xml><?xml version="1.0" encoding="utf-8"?>
<formControlPr xmlns="http://schemas.microsoft.com/office/spreadsheetml/2009/9/main" objectType="CheckBox" fmlaLink="evals!$H$3" lockText="1" noThreeD="1"/>
</file>

<file path=xl/ctrlProps/ctrlProp19.xml><?xml version="1.0" encoding="utf-8"?>
<formControlPr xmlns="http://schemas.microsoft.com/office/spreadsheetml/2009/9/main" objectType="CheckBox" fmlaLink="evals!$H$4" lockText="1" noThreeD="1"/>
</file>

<file path=xl/ctrlProps/ctrlProp20.xml><?xml version="1.0" encoding="utf-8"?>
<formControlPr xmlns="http://schemas.microsoft.com/office/spreadsheetml/2009/9/main" objectType="CheckBox" fmlaLink="evals!$H$5" lockText="1" noThreeD="1"/>
</file>

<file path=xl/ctrlProps/ctrlProp21.xml><?xml version="1.0" encoding="utf-8"?>
<formControlPr xmlns="http://schemas.microsoft.com/office/spreadsheetml/2009/9/main" objectType="CheckBox" fmlaLink="evals!$H$6" lockText="1" noThreeD="1"/>
</file>

<file path=xl/ctrlProps/ctrlProp22.xml><?xml version="1.0" encoding="utf-8"?>
<formControlPr xmlns="http://schemas.microsoft.com/office/spreadsheetml/2009/9/main" objectType="CheckBox" fmlaLink="evals!$H$7" lockText="1" noThreeD="1"/>
</file>

<file path=xl/ctrlProps/ctrlProp23.xml><?xml version="1.0" encoding="utf-8"?>
<formControlPr xmlns="http://schemas.microsoft.com/office/spreadsheetml/2009/9/main" objectType="CheckBox" fmlaLink="evals!$H$8" lockText="1" noThreeD="1"/>
</file>

<file path=xl/ctrlProps/ctrlProp24.xml><?xml version="1.0" encoding="utf-8"?>
<formControlPr xmlns="http://schemas.microsoft.com/office/spreadsheetml/2009/9/main" objectType="CheckBox" fmlaLink="evals!$H$9" lockText="1" noThreeD="1"/>
</file>

<file path=xl/ctrlProps/ctrlProp25.xml><?xml version="1.0" encoding="utf-8"?>
<formControlPr xmlns="http://schemas.microsoft.com/office/spreadsheetml/2009/9/main" objectType="CheckBox" fmlaLink="evals!$H$10" lockText="1" noThreeD="1"/>
</file>

<file path=xl/ctrlProps/ctrlProp26.xml><?xml version="1.0" encoding="utf-8"?>
<formControlPr xmlns="http://schemas.microsoft.com/office/spreadsheetml/2009/9/main" objectType="CheckBox" fmlaLink="evals!$H$11" lockText="1" noThreeD="1"/>
</file>

<file path=xl/ctrlProps/ctrlProp27.xml><?xml version="1.0" encoding="utf-8"?>
<formControlPr xmlns="http://schemas.microsoft.com/office/spreadsheetml/2009/9/main" objectType="CheckBox" fmlaLink="evals!$H$12" lockText="1" noThreeD="1"/>
</file>

<file path=xl/ctrlProps/ctrlProp28.xml><?xml version="1.0" encoding="utf-8"?>
<formControlPr xmlns="http://schemas.microsoft.com/office/spreadsheetml/2009/9/main" objectType="CheckBox" fmlaLink="evals!$H$13" lockText="1" noThreeD="1"/>
</file>

<file path=xl/ctrlProps/ctrlProp29.xml><?xml version="1.0" encoding="utf-8"?>
<formControlPr xmlns="http://schemas.microsoft.com/office/spreadsheetml/2009/9/main" objectType="CheckBox" fmlaLink="evals!$H$14" lockText="1" noThreeD="1"/>
</file>

<file path=xl/ctrlProps/ctrlProp30.xml><?xml version="1.0" encoding="utf-8"?>
<formControlPr xmlns="http://schemas.microsoft.com/office/spreadsheetml/2009/9/main" objectType="CheckBox" fmlaLink="evals!$H$15" lockText="1" noThreeD="1"/>
</file>

<file path=xl/ctrlProps/ctrlProp31.xml><?xml version="1.0" encoding="utf-8"?>
<formControlPr xmlns="http://schemas.microsoft.com/office/spreadsheetml/2009/9/main" objectType="CheckBox" fmlaLink="evals!$H$16" lockText="1" noThreeD="1"/>
</file>

<file path=xl/ctrlProps/ctrlProp32.xml><?xml version="1.0" encoding="utf-8"?>
<formControlPr xmlns="http://schemas.microsoft.com/office/spreadsheetml/2009/9/main" objectType="CheckBox" fmlaLink="evals!$H$17" lockText="1" noThreeD="1"/>
</file>

<file path=xl/ctrlProps/ctrlProp33.xml><?xml version="1.0" encoding="utf-8"?>
<formControlPr xmlns="http://schemas.microsoft.com/office/spreadsheetml/2009/9/main" objectType="CheckBox" fmlaLink="evals!$J$2" lockText="1" noThreeD="1"/>
</file>

<file path=xl/ctrlProps/ctrlProp34.xml><?xml version="1.0" encoding="utf-8"?>
<formControlPr xmlns="http://schemas.microsoft.com/office/spreadsheetml/2009/9/main" objectType="CheckBox" fmlaLink="evals!$J$3" lockText="1" noThreeD="1"/>
</file>

<file path=xl/ctrlProps/ctrlProp35.xml><?xml version="1.0" encoding="utf-8"?>
<formControlPr xmlns="http://schemas.microsoft.com/office/spreadsheetml/2009/9/main" objectType="CheckBox" fmlaLink="evals!$J$4" lockText="1" noThreeD="1"/>
</file>

<file path=xl/ctrlProps/ctrlProp36.xml><?xml version="1.0" encoding="utf-8"?>
<formControlPr xmlns="http://schemas.microsoft.com/office/spreadsheetml/2009/9/main" objectType="CheckBox" fmlaLink="evals!$J$5" lockText="1" noThreeD="1"/>
</file>

<file path=xl/ctrlProps/ctrlProp37.xml><?xml version="1.0" encoding="utf-8"?>
<formControlPr xmlns="http://schemas.microsoft.com/office/spreadsheetml/2009/9/main" objectType="CheckBox" fmlaLink="evals!$J$6" lockText="1" noThreeD="1"/>
</file>

<file path=xl/ctrlProps/ctrlProp38.xml><?xml version="1.0" encoding="utf-8"?>
<formControlPr xmlns="http://schemas.microsoft.com/office/spreadsheetml/2009/9/main" objectType="CheckBox" fmlaLink="evals!$J$7" lockText="1" noThreeD="1"/>
</file>

<file path=xl/ctrlProps/ctrlProp39.xml><?xml version="1.0" encoding="utf-8"?>
<formControlPr xmlns="http://schemas.microsoft.com/office/spreadsheetml/2009/9/main" objectType="CheckBox" fmlaLink="evals!$J$8" lockText="1" noThreeD="1"/>
</file>

<file path=xl/ctrlProps/ctrlProp40.xml><?xml version="1.0" encoding="utf-8"?>
<formControlPr xmlns="http://schemas.microsoft.com/office/spreadsheetml/2009/9/main" objectType="CheckBox" fmlaLink="evals!$J$9" lockText="1" noThreeD="1"/>
</file>

<file path=xl/ctrlProps/ctrlProp41.xml><?xml version="1.0" encoding="utf-8"?>
<formControlPr xmlns="http://schemas.microsoft.com/office/spreadsheetml/2009/9/main" objectType="CheckBox" fmlaLink="evals!$J$10" lockText="1" noThreeD="1"/>
</file>

<file path=xl/ctrlProps/ctrlProp42.xml><?xml version="1.0" encoding="utf-8"?>
<formControlPr xmlns="http://schemas.microsoft.com/office/spreadsheetml/2009/9/main" objectType="CheckBox" fmlaLink="evals!$J$11" lockText="1" noThreeD="1"/>
</file>

<file path=xl/ctrlProps/ctrlProp43.xml><?xml version="1.0" encoding="utf-8"?>
<formControlPr xmlns="http://schemas.microsoft.com/office/spreadsheetml/2009/9/main" objectType="CheckBox" fmlaLink="evals!$J$12" lockText="1" noThreeD="1"/>
</file>

<file path=xl/ctrlProps/ctrlProp44.xml><?xml version="1.0" encoding="utf-8"?>
<formControlPr xmlns="http://schemas.microsoft.com/office/spreadsheetml/2009/9/main" objectType="CheckBox" fmlaLink="evals!$J$13" lockText="1" noThreeD="1"/>
</file>

<file path=xl/ctrlProps/ctrlProp45.xml><?xml version="1.0" encoding="utf-8"?>
<formControlPr xmlns="http://schemas.microsoft.com/office/spreadsheetml/2009/9/main" objectType="CheckBox" fmlaLink="evals!$J$14" lockText="1" noThreeD="1"/>
</file>

<file path=xl/ctrlProps/ctrlProp46.xml><?xml version="1.0" encoding="utf-8"?>
<formControlPr xmlns="http://schemas.microsoft.com/office/spreadsheetml/2009/9/main" objectType="CheckBox" fmlaLink="evals!$J$15" lockText="1" noThreeD="1"/>
</file>

<file path=xl/ctrlProps/ctrlProp47.xml><?xml version="1.0" encoding="utf-8"?>
<formControlPr xmlns="http://schemas.microsoft.com/office/spreadsheetml/2009/9/main" objectType="CheckBox" fmlaLink="evals!$J$16" lockText="1" noThreeD="1"/>
</file>

<file path=xl/ctrlProps/ctrlProp48.xml><?xml version="1.0" encoding="utf-8"?>
<formControlPr xmlns="http://schemas.microsoft.com/office/spreadsheetml/2009/9/main" objectType="CheckBox" fmlaLink="evals!$J$17" lockText="1" noThreeD="1"/>
</file>

<file path=xl/ctrlProps/ctrlProp49.xml><?xml version="1.0" encoding="utf-8"?>
<formControlPr xmlns="http://schemas.microsoft.com/office/spreadsheetml/2009/9/main" objectType="CheckBox" fmlaLink="evals!$L$2" lockText="1" noThreeD="1"/>
</file>

<file path=xl/ctrlProps/ctrlProp50.xml><?xml version="1.0" encoding="utf-8"?>
<formControlPr xmlns="http://schemas.microsoft.com/office/spreadsheetml/2009/9/main" objectType="CheckBox" fmlaLink="evals!$L$3" lockText="1" noThreeD="1"/>
</file>

<file path=xl/ctrlProps/ctrlProp51.xml><?xml version="1.0" encoding="utf-8"?>
<formControlPr xmlns="http://schemas.microsoft.com/office/spreadsheetml/2009/9/main" objectType="CheckBox" fmlaLink="evals!$L$4" lockText="1" noThreeD="1"/>
</file>

<file path=xl/ctrlProps/ctrlProp52.xml><?xml version="1.0" encoding="utf-8"?>
<formControlPr xmlns="http://schemas.microsoft.com/office/spreadsheetml/2009/9/main" objectType="CheckBox" fmlaLink="evals!$L$5" lockText="1" noThreeD="1"/>
</file>

<file path=xl/ctrlProps/ctrlProp53.xml><?xml version="1.0" encoding="utf-8"?>
<formControlPr xmlns="http://schemas.microsoft.com/office/spreadsheetml/2009/9/main" objectType="CheckBox" checked="Checked" fmlaLink="evals!$L$6" lockText="1" noThreeD="1"/>
</file>

<file path=xl/ctrlProps/ctrlProp54.xml><?xml version="1.0" encoding="utf-8"?>
<formControlPr xmlns="http://schemas.microsoft.com/office/spreadsheetml/2009/9/main" objectType="CheckBox" fmlaLink="evals!$L$7" lockText="1" noThreeD="1"/>
</file>

<file path=xl/ctrlProps/ctrlProp55.xml><?xml version="1.0" encoding="utf-8"?>
<formControlPr xmlns="http://schemas.microsoft.com/office/spreadsheetml/2009/9/main" objectType="CheckBox" fmlaLink="evals!$L$8" lockText="1" noThreeD="1"/>
</file>

<file path=xl/ctrlProps/ctrlProp56.xml><?xml version="1.0" encoding="utf-8"?>
<formControlPr xmlns="http://schemas.microsoft.com/office/spreadsheetml/2009/9/main" objectType="CheckBox" fmlaLink="evals!$L$9" lockText="1" noThreeD="1"/>
</file>

<file path=xl/ctrlProps/ctrlProp57.xml><?xml version="1.0" encoding="utf-8"?>
<formControlPr xmlns="http://schemas.microsoft.com/office/spreadsheetml/2009/9/main" objectType="CheckBox" fmlaLink="evals!$L$10" lockText="1" noThreeD="1"/>
</file>

<file path=xl/ctrlProps/ctrlProp58.xml><?xml version="1.0" encoding="utf-8"?>
<formControlPr xmlns="http://schemas.microsoft.com/office/spreadsheetml/2009/9/main" objectType="CheckBox" fmlaLink="evals!$L$11" lockText="1" noThreeD="1"/>
</file>

<file path=xl/ctrlProps/ctrlProp59.xml><?xml version="1.0" encoding="utf-8"?>
<formControlPr xmlns="http://schemas.microsoft.com/office/spreadsheetml/2009/9/main" objectType="CheckBox" fmlaLink="evals!$L$12" lockText="1" noThreeD="1"/>
</file>

<file path=xl/ctrlProps/ctrlProp60.xml><?xml version="1.0" encoding="utf-8"?>
<formControlPr xmlns="http://schemas.microsoft.com/office/spreadsheetml/2009/9/main" objectType="CheckBox" checked="Checked" fmlaLink="evals!$L$13" lockText="1" noThreeD="1"/>
</file>

<file path=xl/ctrlProps/ctrlProp61.xml><?xml version="1.0" encoding="utf-8"?>
<formControlPr xmlns="http://schemas.microsoft.com/office/spreadsheetml/2009/9/main" objectType="CheckBox" fmlaLink="evals!$L$14" lockText="1" noThreeD="1"/>
</file>

<file path=xl/ctrlProps/ctrlProp62.xml><?xml version="1.0" encoding="utf-8"?>
<formControlPr xmlns="http://schemas.microsoft.com/office/spreadsheetml/2009/9/main" objectType="CheckBox" fmlaLink="evals!$L$15" lockText="1" noThreeD="1"/>
</file>

<file path=xl/ctrlProps/ctrlProp63.xml><?xml version="1.0" encoding="utf-8"?>
<formControlPr xmlns="http://schemas.microsoft.com/office/spreadsheetml/2009/9/main" objectType="CheckBox" fmlaLink="evals!$L$16" lockText="1" noThreeD="1"/>
</file>

<file path=xl/ctrlProps/ctrlProp64.xml><?xml version="1.0" encoding="utf-8"?>
<formControlPr xmlns="http://schemas.microsoft.com/office/spreadsheetml/2009/9/main" objectType="CheckBox" checked="Checked" fmlaLink="evals!$L$1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9525</xdr:rowOff>
        </xdr:from>
        <xdr:to>
          <xdr:col>5</xdr:col>
          <xdr:colOff>209550</xdr:colOff>
          <xdr:row>15</xdr:row>
          <xdr:rowOff>9525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9525</xdr:rowOff>
        </xdr:from>
        <xdr:to>
          <xdr:col>5</xdr:col>
          <xdr:colOff>209550</xdr:colOff>
          <xdr:row>16</xdr:row>
          <xdr:rowOff>9525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9525</xdr:rowOff>
        </xdr:from>
        <xdr:to>
          <xdr:col>5</xdr:col>
          <xdr:colOff>209550</xdr:colOff>
          <xdr:row>17</xdr:row>
          <xdr:rowOff>9525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209550</xdr:colOff>
          <xdr:row>18</xdr:row>
          <xdr:rowOff>9525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209550</xdr:colOff>
          <xdr:row>19</xdr:row>
          <xdr:rowOff>9525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9525</xdr:rowOff>
        </xdr:from>
        <xdr:to>
          <xdr:col>5</xdr:col>
          <xdr:colOff>209550</xdr:colOff>
          <xdr:row>20</xdr:row>
          <xdr:rowOff>9525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9525</xdr:rowOff>
        </xdr:from>
        <xdr:to>
          <xdr:col>5</xdr:col>
          <xdr:colOff>209550</xdr:colOff>
          <xdr:row>21</xdr:row>
          <xdr:rowOff>9525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9525</xdr:rowOff>
        </xdr:from>
        <xdr:to>
          <xdr:col>5</xdr:col>
          <xdr:colOff>209550</xdr:colOff>
          <xdr:row>22</xdr:row>
          <xdr:rowOff>9525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9525</xdr:rowOff>
        </xdr:from>
        <xdr:to>
          <xdr:col>5</xdr:col>
          <xdr:colOff>209550</xdr:colOff>
          <xdr:row>23</xdr:row>
          <xdr:rowOff>9525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9525</xdr:rowOff>
        </xdr:from>
        <xdr:to>
          <xdr:col>5</xdr:col>
          <xdr:colOff>209550</xdr:colOff>
          <xdr:row>24</xdr:row>
          <xdr:rowOff>9525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9525</xdr:rowOff>
        </xdr:from>
        <xdr:to>
          <xdr:col>5</xdr:col>
          <xdr:colOff>209550</xdr:colOff>
          <xdr:row>25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9525</xdr:rowOff>
        </xdr:from>
        <xdr:to>
          <xdr:col>5</xdr:col>
          <xdr:colOff>209550</xdr:colOff>
          <xdr:row>26</xdr:row>
          <xdr:rowOff>9525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9525</xdr:rowOff>
        </xdr:from>
        <xdr:to>
          <xdr:col>5</xdr:col>
          <xdr:colOff>209550</xdr:colOff>
          <xdr:row>27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9525</xdr:rowOff>
        </xdr:from>
        <xdr:to>
          <xdr:col>5</xdr:col>
          <xdr:colOff>209550</xdr:colOff>
          <xdr:row>28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209550</xdr:colOff>
          <xdr:row>29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209550</xdr:colOff>
          <xdr:row>30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9525</xdr:rowOff>
        </xdr:from>
        <xdr:to>
          <xdr:col>9</xdr:col>
          <xdr:colOff>209550</xdr:colOff>
          <xdr:row>15</xdr:row>
          <xdr:rowOff>9525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9525</xdr:rowOff>
        </xdr:from>
        <xdr:to>
          <xdr:col>9</xdr:col>
          <xdr:colOff>209550</xdr:colOff>
          <xdr:row>16</xdr:row>
          <xdr:rowOff>9525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9525</xdr:rowOff>
        </xdr:from>
        <xdr:to>
          <xdr:col>9</xdr:col>
          <xdr:colOff>209550</xdr:colOff>
          <xdr:row>17</xdr:row>
          <xdr:rowOff>9525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9525</xdr:rowOff>
        </xdr:from>
        <xdr:to>
          <xdr:col>9</xdr:col>
          <xdr:colOff>209550</xdr:colOff>
          <xdr:row>18</xdr:row>
          <xdr:rowOff>9525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9525</xdr:rowOff>
        </xdr:from>
        <xdr:to>
          <xdr:col>9</xdr:col>
          <xdr:colOff>209550</xdr:colOff>
          <xdr:row>19</xdr:row>
          <xdr:rowOff>9525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9</xdr:col>
          <xdr:colOff>209550</xdr:colOff>
          <xdr:row>20</xdr:row>
          <xdr:rowOff>9525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9525</xdr:rowOff>
        </xdr:from>
        <xdr:to>
          <xdr:col>9</xdr:col>
          <xdr:colOff>209550</xdr:colOff>
          <xdr:row>21</xdr:row>
          <xdr:rowOff>9525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9525</xdr:rowOff>
        </xdr:from>
        <xdr:to>
          <xdr:col>9</xdr:col>
          <xdr:colOff>209550</xdr:colOff>
          <xdr:row>22</xdr:row>
          <xdr:rowOff>9525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9525</xdr:rowOff>
        </xdr:from>
        <xdr:to>
          <xdr:col>9</xdr:col>
          <xdr:colOff>209550</xdr:colOff>
          <xdr:row>23</xdr:row>
          <xdr:rowOff>9525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9525</xdr:rowOff>
        </xdr:from>
        <xdr:to>
          <xdr:col>9</xdr:col>
          <xdr:colOff>209550</xdr:colOff>
          <xdr:row>24</xdr:row>
          <xdr:rowOff>9525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9525</xdr:rowOff>
        </xdr:from>
        <xdr:to>
          <xdr:col>9</xdr:col>
          <xdr:colOff>209550</xdr:colOff>
          <xdr:row>25</xdr:row>
          <xdr:rowOff>9525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9525</xdr:rowOff>
        </xdr:from>
        <xdr:to>
          <xdr:col>9</xdr:col>
          <xdr:colOff>209550</xdr:colOff>
          <xdr:row>26</xdr:row>
          <xdr:rowOff>9525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9525</xdr:rowOff>
        </xdr:from>
        <xdr:to>
          <xdr:col>9</xdr:col>
          <xdr:colOff>209550</xdr:colOff>
          <xdr:row>27</xdr:row>
          <xdr:rowOff>9525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9525</xdr:rowOff>
        </xdr:from>
        <xdr:to>
          <xdr:col>9</xdr:col>
          <xdr:colOff>209550</xdr:colOff>
          <xdr:row>28</xdr:row>
          <xdr:rowOff>9525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9525</xdr:rowOff>
        </xdr:from>
        <xdr:to>
          <xdr:col>9</xdr:col>
          <xdr:colOff>209550</xdr:colOff>
          <xdr:row>29</xdr:row>
          <xdr:rowOff>9525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9525</xdr:rowOff>
        </xdr:from>
        <xdr:to>
          <xdr:col>9</xdr:col>
          <xdr:colOff>209550</xdr:colOff>
          <xdr:row>30</xdr:row>
          <xdr:rowOff>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9525</xdr:rowOff>
        </xdr:from>
        <xdr:to>
          <xdr:col>13</xdr:col>
          <xdr:colOff>209550</xdr:colOff>
          <xdr:row>15</xdr:row>
          <xdr:rowOff>9525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9525</xdr:rowOff>
        </xdr:from>
        <xdr:to>
          <xdr:col>13</xdr:col>
          <xdr:colOff>209550</xdr:colOff>
          <xdr:row>16</xdr:row>
          <xdr:rowOff>9525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16</xdr:row>
          <xdr:rowOff>9525</xdr:rowOff>
        </xdr:from>
        <xdr:to>
          <xdr:col>13</xdr:col>
          <xdr:colOff>209550</xdr:colOff>
          <xdr:row>17</xdr:row>
          <xdr:rowOff>9525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17</xdr:row>
          <xdr:rowOff>9525</xdr:rowOff>
        </xdr:from>
        <xdr:to>
          <xdr:col>13</xdr:col>
          <xdr:colOff>209550</xdr:colOff>
          <xdr:row>18</xdr:row>
          <xdr:rowOff>9525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18</xdr:row>
          <xdr:rowOff>9525</xdr:rowOff>
        </xdr:from>
        <xdr:to>
          <xdr:col>13</xdr:col>
          <xdr:colOff>209550</xdr:colOff>
          <xdr:row>19</xdr:row>
          <xdr:rowOff>9525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19</xdr:row>
          <xdr:rowOff>9525</xdr:rowOff>
        </xdr:from>
        <xdr:to>
          <xdr:col>13</xdr:col>
          <xdr:colOff>209550</xdr:colOff>
          <xdr:row>20</xdr:row>
          <xdr:rowOff>9525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20</xdr:row>
          <xdr:rowOff>9525</xdr:rowOff>
        </xdr:from>
        <xdr:to>
          <xdr:col>13</xdr:col>
          <xdr:colOff>209550</xdr:colOff>
          <xdr:row>21</xdr:row>
          <xdr:rowOff>9525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21</xdr:row>
          <xdr:rowOff>9525</xdr:rowOff>
        </xdr:from>
        <xdr:to>
          <xdr:col>13</xdr:col>
          <xdr:colOff>209550</xdr:colOff>
          <xdr:row>22</xdr:row>
          <xdr:rowOff>9525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22</xdr:row>
          <xdr:rowOff>9525</xdr:rowOff>
        </xdr:from>
        <xdr:to>
          <xdr:col>13</xdr:col>
          <xdr:colOff>209550</xdr:colOff>
          <xdr:row>23</xdr:row>
          <xdr:rowOff>9525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23</xdr:row>
          <xdr:rowOff>9525</xdr:rowOff>
        </xdr:from>
        <xdr:to>
          <xdr:col>13</xdr:col>
          <xdr:colOff>209550</xdr:colOff>
          <xdr:row>24</xdr:row>
          <xdr:rowOff>9525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24</xdr:row>
          <xdr:rowOff>9525</xdr:rowOff>
        </xdr:from>
        <xdr:to>
          <xdr:col>13</xdr:col>
          <xdr:colOff>209550</xdr:colOff>
          <xdr:row>25</xdr:row>
          <xdr:rowOff>9525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25</xdr:row>
          <xdr:rowOff>9525</xdr:rowOff>
        </xdr:from>
        <xdr:to>
          <xdr:col>13</xdr:col>
          <xdr:colOff>209550</xdr:colOff>
          <xdr:row>26</xdr:row>
          <xdr:rowOff>9525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26</xdr:row>
          <xdr:rowOff>9525</xdr:rowOff>
        </xdr:from>
        <xdr:to>
          <xdr:col>13</xdr:col>
          <xdr:colOff>209550</xdr:colOff>
          <xdr:row>27</xdr:row>
          <xdr:rowOff>9525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27</xdr:row>
          <xdr:rowOff>9525</xdr:rowOff>
        </xdr:from>
        <xdr:to>
          <xdr:col>13</xdr:col>
          <xdr:colOff>209550</xdr:colOff>
          <xdr:row>28</xdr:row>
          <xdr:rowOff>9525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28</xdr:row>
          <xdr:rowOff>9525</xdr:rowOff>
        </xdr:from>
        <xdr:to>
          <xdr:col>13</xdr:col>
          <xdr:colOff>209550</xdr:colOff>
          <xdr:row>29</xdr:row>
          <xdr:rowOff>9525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9525</xdr:rowOff>
        </xdr:from>
        <xdr:to>
          <xdr:col>13</xdr:col>
          <xdr:colOff>209550</xdr:colOff>
          <xdr:row>30</xdr:row>
          <xdr:rowOff>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14</xdr:row>
          <xdr:rowOff>9525</xdr:rowOff>
        </xdr:from>
        <xdr:to>
          <xdr:col>17</xdr:col>
          <xdr:colOff>209550</xdr:colOff>
          <xdr:row>15</xdr:row>
          <xdr:rowOff>9525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15</xdr:row>
          <xdr:rowOff>9525</xdr:rowOff>
        </xdr:from>
        <xdr:to>
          <xdr:col>17</xdr:col>
          <xdr:colOff>209550</xdr:colOff>
          <xdr:row>16</xdr:row>
          <xdr:rowOff>9525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16</xdr:row>
          <xdr:rowOff>9525</xdr:rowOff>
        </xdr:from>
        <xdr:to>
          <xdr:col>17</xdr:col>
          <xdr:colOff>209550</xdr:colOff>
          <xdr:row>17</xdr:row>
          <xdr:rowOff>9525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17</xdr:row>
          <xdr:rowOff>9525</xdr:rowOff>
        </xdr:from>
        <xdr:to>
          <xdr:col>17</xdr:col>
          <xdr:colOff>209550</xdr:colOff>
          <xdr:row>18</xdr:row>
          <xdr:rowOff>9525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18</xdr:row>
          <xdr:rowOff>9525</xdr:rowOff>
        </xdr:from>
        <xdr:to>
          <xdr:col>17</xdr:col>
          <xdr:colOff>209550</xdr:colOff>
          <xdr:row>19</xdr:row>
          <xdr:rowOff>9525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19</xdr:row>
          <xdr:rowOff>9525</xdr:rowOff>
        </xdr:from>
        <xdr:to>
          <xdr:col>17</xdr:col>
          <xdr:colOff>209550</xdr:colOff>
          <xdr:row>20</xdr:row>
          <xdr:rowOff>9525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20</xdr:row>
          <xdr:rowOff>9525</xdr:rowOff>
        </xdr:from>
        <xdr:to>
          <xdr:col>17</xdr:col>
          <xdr:colOff>209550</xdr:colOff>
          <xdr:row>21</xdr:row>
          <xdr:rowOff>9525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21</xdr:row>
          <xdr:rowOff>9525</xdr:rowOff>
        </xdr:from>
        <xdr:to>
          <xdr:col>17</xdr:col>
          <xdr:colOff>209550</xdr:colOff>
          <xdr:row>22</xdr:row>
          <xdr:rowOff>9525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22</xdr:row>
          <xdr:rowOff>9525</xdr:rowOff>
        </xdr:from>
        <xdr:to>
          <xdr:col>17</xdr:col>
          <xdr:colOff>209550</xdr:colOff>
          <xdr:row>23</xdr:row>
          <xdr:rowOff>9525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23</xdr:row>
          <xdr:rowOff>9525</xdr:rowOff>
        </xdr:from>
        <xdr:to>
          <xdr:col>17</xdr:col>
          <xdr:colOff>209550</xdr:colOff>
          <xdr:row>24</xdr:row>
          <xdr:rowOff>9525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24</xdr:row>
          <xdr:rowOff>9525</xdr:rowOff>
        </xdr:from>
        <xdr:to>
          <xdr:col>17</xdr:col>
          <xdr:colOff>209550</xdr:colOff>
          <xdr:row>25</xdr:row>
          <xdr:rowOff>9525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25</xdr:row>
          <xdr:rowOff>9525</xdr:rowOff>
        </xdr:from>
        <xdr:to>
          <xdr:col>17</xdr:col>
          <xdr:colOff>209550</xdr:colOff>
          <xdr:row>26</xdr:row>
          <xdr:rowOff>9525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26</xdr:row>
          <xdr:rowOff>9525</xdr:rowOff>
        </xdr:from>
        <xdr:to>
          <xdr:col>17</xdr:col>
          <xdr:colOff>209550</xdr:colOff>
          <xdr:row>27</xdr:row>
          <xdr:rowOff>9525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27</xdr:row>
          <xdr:rowOff>9525</xdr:rowOff>
        </xdr:from>
        <xdr:to>
          <xdr:col>17</xdr:col>
          <xdr:colOff>209550</xdr:colOff>
          <xdr:row>28</xdr:row>
          <xdr:rowOff>9525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28</xdr:row>
          <xdr:rowOff>9525</xdr:rowOff>
        </xdr:from>
        <xdr:to>
          <xdr:col>17</xdr:col>
          <xdr:colOff>209550</xdr:colOff>
          <xdr:row>29</xdr:row>
          <xdr:rowOff>9525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29</xdr:row>
          <xdr:rowOff>9525</xdr:rowOff>
        </xdr:from>
        <xdr:to>
          <xdr:col>17</xdr:col>
          <xdr:colOff>209550</xdr:colOff>
          <xdr:row>30</xdr:row>
          <xdr:rowOff>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D117" totalsRowShown="0" headerRowDxfId="2">
  <autoFilter ref="A1:D117"/>
  <tableColumns count="4">
    <tableColumn id="1" name="Carreras"/>
    <tableColumn id="2" name="Disciplinas"/>
    <tableColumn id="3" name="Asiganturas"/>
    <tableColumn id="4" name="Hor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U62"/>
  <sheetViews>
    <sheetView tabSelected="1" zoomScale="85" zoomScaleNormal="85" workbookViewId="0">
      <selection activeCell="A18" sqref="A18"/>
    </sheetView>
  </sheetViews>
  <sheetFormatPr baseColWidth="10" defaultRowHeight="15" x14ac:dyDescent="0.25"/>
  <cols>
    <col min="1" max="1" width="21.42578125" style="3" customWidth="1"/>
    <col min="2" max="2" width="23.85546875" style="3" customWidth="1"/>
    <col min="3" max="5" width="9.28515625" style="3" customWidth="1"/>
    <col min="6" max="6" width="3.42578125" style="3" customWidth="1"/>
    <col min="7" max="9" width="9.28515625" style="3" customWidth="1"/>
    <col min="10" max="10" width="3.42578125" style="3" customWidth="1"/>
    <col min="11" max="13" width="9.28515625" style="3" customWidth="1"/>
    <col min="14" max="14" width="3.42578125" style="3" customWidth="1"/>
    <col min="15" max="17" width="9.28515625" style="3" customWidth="1"/>
    <col min="18" max="18" width="3.42578125" style="3" customWidth="1"/>
    <col min="19" max="19" width="19" style="3" customWidth="1"/>
    <col min="20" max="20" width="19.5703125" style="3" customWidth="1"/>
    <col min="21" max="16384" width="11.42578125" style="3"/>
  </cols>
  <sheetData>
    <row r="1" spans="1:21" x14ac:dyDescent="0.25">
      <c r="D1" s="3" t="s">
        <v>0</v>
      </c>
    </row>
    <row r="2" spans="1:21" x14ac:dyDescent="0.25">
      <c r="A2" s="13" t="s">
        <v>5</v>
      </c>
      <c r="B2" s="3" t="s">
        <v>19</v>
      </c>
    </row>
    <row r="3" spans="1:21" x14ac:dyDescent="0.25">
      <c r="A3" s="13" t="s">
        <v>2</v>
      </c>
      <c r="B3" s="12">
        <v>3</v>
      </c>
    </row>
    <row r="4" spans="1:21" ht="15.75" thickBot="1" x14ac:dyDescent="0.3">
      <c r="A4" s="13" t="s">
        <v>7</v>
      </c>
      <c r="B4" s="12" t="s">
        <v>25</v>
      </c>
    </row>
    <row r="5" spans="1:21" ht="15.75" thickBot="1" x14ac:dyDescent="0.3">
      <c r="A5" s="13" t="s">
        <v>6</v>
      </c>
      <c r="B5" s="12" t="s">
        <v>86</v>
      </c>
      <c r="H5" s="26"/>
      <c r="I5" s="25"/>
    </row>
    <row r="6" spans="1:21" x14ac:dyDescent="0.25">
      <c r="A6" s="13" t="s">
        <v>1</v>
      </c>
      <c r="B6" s="12" t="s">
        <v>85</v>
      </c>
    </row>
    <row r="7" spans="1:21" x14ac:dyDescent="0.25">
      <c r="A7" s="13" t="s">
        <v>242</v>
      </c>
      <c r="B7" s="62" t="str">
        <f>GenerarAbreviatura(B6)</f>
        <v>Computación</v>
      </c>
    </row>
    <row r="8" spans="1:21" x14ac:dyDescent="0.25">
      <c r="A8" s="13" t="s">
        <v>21</v>
      </c>
      <c r="B8" s="62">
        <f>IFERROR(INDEX(Listas!L:L, MATCH(B6,Listas!K:K, 0)), "No encontrada")</f>
        <v>52</v>
      </c>
    </row>
    <row r="9" spans="1:21" x14ac:dyDescent="0.25">
      <c r="A9" s="13" t="s">
        <v>14</v>
      </c>
      <c r="B9" s="12" t="s">
        <v>29</v>
      </c>
    </row>
    <row r="10" spans="1:21" x14ac:dyDescent="0.25">
      <c r="A10" s="13" t="s">
        <v>4</v>
      </c>
      <c r="B10" s="12" t="s">
        <v>76</v>
      </c>
    </row>
    <row r="11" spans="1:21" x14ac:dyDescent="0.25">
      <c r="A11" s="13" t="s">
        <v>14</v>
      </c>
      <c r="B11" s="42" t="s">
        <v>77</v>
      </c>
    </row>
    <row r="12" spans="1:21" ht="15.75" thickBot="1" x14ac:dyDescent="0.3">
      <c r="A12" s="4"/>
    </row>
    <row r="13" spans="1:21" ht="15.75" thickBot="1" x14ac:dyDescent="0.3">
      <c r="B13" s="45"/>
      <c r="C13" s="51" t="s">
        <v>8</v>
      </c>
      <c r="D13" s="52"/>
      <c r="E13" s="52"/>
      <c r="F13" s="53"/>
      <c r="G13" s="48" t="s">
        <v>10</v>
      </c>
      <c r="H13" s="49"/>
      <c r="I13" s="49"/>
      <c r="J13" s="50"/>
      <c r="K13" s="48" t="s">
        <v>11</v>
      </c>
      <c r="L13" s="49"/>
      <c r="M13" s="49"/>
      <c r="N13" s="50"/>
      <c r="O13" s="48" t="s">
        <v>15</v>
      </c>
      <c r="P13" s="49"/>
      <c r="Q13" s="49"/>
      <c r="R13" s="50"/>
      <c r="S13" s="48" t="s">
        <v>13</v>
      </c>
      <c r="T13" s="50"/>
      <c r="U13" s="5"/>
    </row>
    <row r="14" spans="1:21" ht="15.75" thickBot="1" x14ac:dyDescent="0.3">
      <c r="B14" s="46"/>
      <c r="C14" s="47" t="s">
        <v>12</v>
      </c>
      <c r="D14" s="40" t="s">
        <v>47</v>
      </c>
      <c r="E14" s="40" t="s">
        <v>9</v>
      </c>
      <c r="F14" s="28" t="s">
        <v>70</v>
      </c>
      <c r="G14" s="14" t="s">
        <v>12</v>
      </c>
      <c r="H14" s="27" t="s">
        <v>47</v>
      </c>
      <c r="I14" s="40" t="s">
        <v>9</v>
      </c>
      <c r="J14" s="28" t="s">
        <v>70</v>
      </c>
      <c r="K14" s="27" t="s">
        <v>12</v>
      </c>
      <c r="L14" s="27" t="s">
        <v>47</v>
      </c>
      <c r="M14" s="41" t="s">
        <v>9</v>
      </c>
      <c r="N14" s="30" t="s">
        <v>70</v>
      </c>
      <c r="O14" s="27" t="s">
        <v>12</v>
      </c>
      <c r="P14" s="27" t="s">
        <v>47</v>
      </c>
      <c r="Q14" s="41" t="s">
        <v>9</v>
      </c>
      <c r="R14" s="30" t="s">
        <v>70</v>
      </c>
      <c r="S14" s="29" t="s">
        <v>49</v>
      </c>
      <c r="T14" s="30" t="s">
        <v>48</v>
      </c>
    </row>
    <row r="15" spans="1:21" x14ac:dyDescent="0.25">
      <c r="B15" s="15" t="s">
        <v>226</v>
      </c>
      <c r="C15" s="6">
        <v>1</v>
      </c>
      <c r="D15" s="6">
        <v>2</v>
      </c>
      <c r="E15" s="16">
        <f t="shared" ref="E15:E30" si="0">C15*D15</f>
        <v>2</v>
      </c>
      <c r="G15" s="7"/>
      <c r="H15" s="20"/>
      <c r="I15" s="16">
        <f t="shared" ref="I15:I30" si="1">G15*H15</f>
        <v>0</v>
      </c>
      <c r="K15" s="7"/>
      <c r="L15" s="20"/>
      <c r="M15" s="16">
        <f t="shared" ref="M15:M30" si="2">K15*L15</f>
        <v>0</v>
      </c>
      <c r="O15" s="7">
        <v>1</v>
      </c>
      <c r="P15" s="20">
        <v>2</v>
      </c>
      <c r="Q15" s="16">
        <f t="shared" ref="Q15:Q30" si="3">O15*P15</f>
        <v>2</v>
      </c>
      <c r="S15" s="21">
        <f t="shared" ref="S15:S30" si="4">C15+G15+K15+O15</f>
        <v>2</v>
      </c>
      <c r="T15" s="21">
        <f t="shared" ref="T15:T30" si="5">E15+I15+M15+Q15</f>
        <v>4</v>
      </c>
    </row>
    <row r="16" spans="1:21" x14ac:dyDescent="0.25">
      <c r="B16" s="17" t="s">
        <v>227</v>
      </c>
      <c r="C16" s="8"/>
      <c r="D16" s="8"/>
      <c r="E16" s="18">
        <f t="shared" si="0"/>
        <v>0</v>
      </c>
      <c r="G16" s="9"/>
      <c r="H16" s="10"/>
      <c r="I16" s="18">
        <f t="shared" si="1"/>
        <v>0</v>
      </c>
      <c r="K16" s="9"/>
      <c r="L16" s="10"/>
      <c r="M16" s="18">
        <f t="shared" si="2"/>
        <v>0</v>
      </c>
      <c r="O16" s="9">
        <v>1</v>
      </c>
      <c r="P16" s="10">
        <v>4</v>
      </c>
      <c r="Q16" s="18">
        <f t="shared" si="3"/>
        <v>4</v>
      </c>
      <c r="S16" s="22">
        <f t="shared" si="4"/>
        <v>1</v>
      </c>
      <c r="T16" s="22">
        <f t="shared" si="5"/>
        <v>4</v>
      </c>
    </row>
    <row r="17" spans="2:20" x14ac:dyDescent="0.25">
      <c r="B17" s="17" t="s">
        <v>228</v>
      </c>
      <c r="C17" s="8"/>
      <c r="D17" s="8"/>
      <c r="E17" s="18">
        <f t="shared" si="0"/>
        <v>0</v>
      </c>
      <c r="G17" s="9"/>
      <c r="H17" s="10"/>
      <c r="I17" s="18">
        <f t="shared" si="1"/>
        <v>0</v>
      </c>
      <c r="K17" s="9"/>
      <c r="L17" s="10"/>
      <c r="M17" s="18">
        <f t="shared" si="2"/>
        <v>0</v>
      </c>
      <c r="O17" s="9">
        <v>1</v>
      </c>
      <c r="P17" s="10">
        <v>4</v>
      </c>
      <c r="Q17" s="18">
        <f t="shared" si="3"/>
        <v>4</v>
      </c>
      <c r="S17" s="22">
        <f t="shared" si="4"/>
        <v>1</v>
      </c>
      <c r="T17" s="22">
        <f t="shared" si="5"/>
        <v>4</v>
      </c>
    </row>
    <row r="18" spans="2:20" x14ac:dyDescent="0.25">
      <c r="B18" s="17" t="s">
        <v>229</v>
      </c>
      <c r="C18" s="8"/>
      <c r="D18" s="8"/>
      <c r="E18" s="18">
        <f t="shared" si="0"/>
        <v>0</v>
      </c>
      <c r="G18" s="9"/>
      <c r="H18" s="10"/>
      <c r="I18" s="18">
        <f t="shared" si="1"/>
        <v>0</v>
      </c>
      <c r="K18" s="9"/>
      <c r="L18" s="10"/>
      <c r="M18" s="18">
        <f t="shared" si="2"/>
        <v>0</v>
      </c>
      <c r="O18" s="9">
        <v>1</v>
      </c>
      <c r="P18" s="10">
        <v>4</v>
      </c>
      <c r="Q18" s="18">
        <f t="shared" si="3"/>
        <v>4</v>
      </c>
      <c r="S18" s="22">
        <f t="shared" si="4"/>
        <v>1</v>
      </c>
      <c r="T18" s="22">
        <f t="shared" si="5"/>
        <v>4</v>
      </c>
    </row>
    <row r="19" spans="2:20" x14ac:dyDescent="0.25">
      <c r="B19" s="17" t="s">
        <v>230</v>
      </c>
      <c r="C19" s="8"/>
      <c r="D19" s="8"/>
      <c r="E19" s="18">
        <f t="shared" si="0"/>
        <v>0</v>
      </c>
      <c r="G19" s="9"/>
      <c r="H19" s="10"/>
      <c r="I19" s="18">
        <f t="shared" si="1"/>
        <v>0</v>
      </c>
      <c r="K19" s="9"/>
      <c r="L19" s="10"/>
      <c r="M19" s="18">
        <f t="shared" si="2"/>
        <v>0</v>
      </c>
      <c r="O19" s="9">
        <v>1</v>
      </c>
      <c r="P19" s="10">
        <v>2</v>
      </c>
      <c r="Q19" s="18">
        <f t="shared" si="3"/>
        <v>2</v>
      </c>
      <c r="S19" s="22">
        <f t="shared" si="4"/>
        <v>1</v>
      </c>
      <c r="T19" s="22">
        <f t="shared" si="5"/>
        <v>2</v>
      </c>
    </row>
    <row r="20" spans="2:20" x14ac:dyDescent="0.25">
      <c r="B20" s="17" t="s">
        <v>231</v>
      </c>
      <c r="C20" s="8">
        <v>1</v>
      </c>
      <c r="D20" s="8">
        <v>2</v>
      </c>
      <c r="E20" s="18">
        <f t="shared" si="0"/>
        <v>2</v>
      </c>
      <c r="G20" s="9"/>
      <c r="H20" s="10"/>
      <c r="I20" s="18">
        <f t="shared" si="1"/>
        <v>0</v>
      </c>
      <c r="K20" s="9"/>
      <c r="L20" s="10"/>
      <c r="M20" s="18">
        <f t="shared" si="2"/>
        <v>0</v>
      </c>
      <c r="O20" s="9">
        <v>1</v>
      </c>
      <c r="P20" s="10">
        <v>2</v>
      </c>
      <c r="Q20" s="18">
        <f t="shared" si="3"/>
        <v>2</v>
      </c>
      <c r="S20" s="22">
        <f t="shared" si="4"/>
        <v>2</v>
      </c>
      <c r="T20" s="22">
        <f t="shared" si="5"/>
        <v>4</v>
      </c>
    </row>
    <row r="21" spans="2:20" x14ac:dyDescent="0.25">
      <c r="B21" s="17" t="s">
        <v>232</v>
      </c>
      <c r="C21" s="8"/>
      <c r="D21" s="8"/>
      <c r="E21" s="18">
        <f t="shared" si="0"/>
        <v>0</v>
      </c>
      <c r="G21" s="9">
        <v>1</v>
      </c>
      <c r="H21" s="10">
        <v>4</v>
      </c>
      <c r="I21" s="18">
        <f t="shared" si="1"/>
        <v>4</v>
      </c>
      <c r="K21" s="9"/>
      <c r="L21" s="10"/>
      <c r="M21" s="18">
        <f t="shared" si="2"/>
        <v>0</v>
      </c>
      <c r="O21" s="9"/>
      <c r="P21" s="10"/>
      <c r="Q21" s="18">
        <f t="shared" si="3"/>
        <v>0</v>
      </c>
      <c r="S21" s="22">
        <f t="shared" si="4"/>
        <v>1</v>
      </c>
      <c r="T21" s="22">
        <f t="shared" si="5"/>
        <v>4</v>
      </c>
    </row>
    <row r="22" spans="2:20" x14ac:dyDescent="0.25">
      <c r="B22" s="17" t="s">
        <v>233</v>
      </c>
      <c r="C22" s="8"/>
      <c r="D22" s="8"/>
      <c r="E22" s="18">
        <f t="shared" si="0"/>
        <v>0</v>
      </c>
      <c r="G22" s="9"/>
      <c r="H22" s="10"/>
      <c r="I22" s="18">
        <f t="shared" si="1"/>
        <v>0</v>
      </c>
      <c r="K22" s="9"/>
      <c r="L22" s="10"/>
      <c r="M22" s="18">
        <f t="shared" si="2"/>
        <v>0</v>
      </c>
      <c r="O22" s="9">
        <v>1</v>
      </c>
      <c r="P22" s="10">
        <v>4</v>
      </c>
      <c r="Q22" s="18">
        <f t="shared" si="3"/>
        <v>4</v>
      </c>
      <c r="S22" s="22">
        <f t="shared" si="4"/>
        <v>1</v>
      </c>
      <c r="T22" s="22">
        <f t="shared" si="5"/>
        <v>4</v>
      </c>
    </row>
    <row r="23" spans="2:20" x14ac:dyDescent="0.25">
      <c r="B23" s="17" t="s">
        <v>234</v>
      </c>
      <c r="C23" s="8"/>
      <c r="D23" s="8"/>
      <c r="E23" s="18">
        <f t="shared" si="0"/>
        <v>0</v>
      </c>
      <c r="G23" s="9"/>
      <c r="H23" s="10"/>
      <c r="I23" s="18">
        <f t="shared" si="1"/>
        <v>0</v>
      </c>
      <c r="K23" s="9"/>
      <c r="L23" s="10"/>
      <c r="M23" s="18">
        <f t="shared" si="2"/>
        <v>0</v>
      </c>
      <c r="O23" s="9">
        <v>1</v>
      </c>
      <c r="P23" s="10">
        <v>4</v>
      </c>
      <c r="Q23" s="18">
        <f t="shared" si="3"/>
        <v>4</v>
      </c>
      <c r="S23" s="22">
        <f t="shared" si="4"/>
        <v>1</v>
      </c>
      <c r="T23" s="22">
        <f t="shared" si="5"/>
        <v>4</v>
      </c>
    </row>
    <row r="24" spans="2:20" x14ac:dyDescent="0.25">
      <c r="B24" s="17" t="s">
        <v>235</v>
      </c>
      <c r="C24" s="8"/>
      <c r="D24" s="8"/>
      <c r="E24" s="18">
        <f t="shared" si="0"/>
        <v>0</v>
      </c>
      <c r="G24" s="9"/>
      <c r="H24" s="10"/>
      <c r="I24" s="18">
        <f t="shared" si="1"/>
        <v>0</v>
      </c>
      <c r="K24" s="9"/>
      <c r="L24" s="10"/>
      <c r="M24" s="18">
        <f t="shared" si="2"/>
        <v>0</v>
      </c>
      <c r="O24" s="9">
        <v>1</v>
      </c>
      <c r="P24" s="10">
        <v>4</v>
      </c>
      <c r="Q24" s="18">
        <f t="shared" si="3"/>
        <v>4</v>
      </c>
      <c r="S24" s="22">
        <f t="shared" si="4"/>
        <v>1</v>
      </c>
      <c r="T24" s="22">
        <f t="shared" si="5"/>
        <v>4</v>
      </c>
    </row>
    <row r="25" spans="2:20" x14ac:dyDescent="0.25">
      <c r="B25" s="17" t="s">
        <v>236</v>
      </c>
      <c r="C25" s="8"/>
      <c r="D25" s="8"/>
      <c r="E25" s="18">
        <f t="shared" si="0"/>
        <v>0</v>
      </c>
      <c r="G25" s="9"/>
      <c r="H25" s="10"/>
      <c r="I25" s="18">
        <f t="shared" si="1"/>
        <v>0</v>
      </c>
      <c r="K25" s="9"/>
      <c r="L25" s="10"/>
      <c r="M25" s="18">
        <f t="shared" si="2"/>
        <v>0</v>
      </c>
      <c r="O25" s="9">
        <v>1</v>
      </c>
      <c r="P25" s="10">
        <v>2</v>
      </c>
      <c r="Q25" s="18">
        <f t="shared" si="3"/>
        <v>2</v>
      </c>
      <c r="S25" s="22">
        <f t="shared" si="4"/>
        <v>1</v>
      </c>
      <c r="T25" s="22">
        <f t="shared" si="5"/>
        <v>2</v>
      </c>
    </row>
    <row r="26" spans="2:20" x14ac:dyDescent="0.25">
      <c r="B26" s="17" t="s">
        <v>237</v>
      </c>
      <c r="C26" s="8"/>
      <c r="D26" s="8"/>
      <c r="E26" s="18">
        <f t="shared" si="0"/>
        <v>0</v>
      </c>
      <c r="G26" s="9"/>
      <c r="H26" s="10"/>
      <c r="I26" s="18">
        <f t="shared" si="1"/>
        <v>0</v>
      </c>
      <c r="K26" s="9"/>
      <c r="L26" s="10"/>
      <c r="M26" s="18">
        <f t="shared" si="2"/>
        <v>0</v>
      </c>
      <c r="O26" s="9">
        <v>1</v>
      </c>
      <c r="P26" s="10">
        <v>2</v>
      </c>
      <c r="Q26" s="18">
        <f t="shared" si="3"/>
        <v>2</v>
      </c>
      <c r="S26" s="22">
        <f t="shared" si="4"/>
        <v>1</v>
      </c>
      <c r="T26" s="22">
        <f t="shared" si="5"/>
        <v>2</v>
      </c>
    </row>
    <row r="27" spans="2:20" x14ac:dyDescent="0.25">
      <c r="B27" s="17" t="s">
        <v>238</v>
      </c>
      <c r="C27" s="8"/>
      <c r="D27" s="8"/>
      <c r="E27" s="18">
        <f t="shared" si="0"/>
        <v>0</v>
      </c>
      <c r="G27" s="9"/>
      <c r="H27" s="10"/>
      <c r="I27" s="18">
        <f t="shared" si="1"/>
        <v>0</v>
      </c>
      <c r="K27" s="9"/>
      <c r="L27" s="10"/>
      <c r="M27" s="18">
        <f t="shared" si="2"/>
        <v>0</v>
      </c>
      <c r="O27" s="9">
        <v>1</v>
      </c>
      <c r="P27" s="10">
        <v>2</v>
      </c>
      <c r="Q27" s="18">
        <f t="shared" si="3"/>
        <v>2</v>
      </c>
      <c r="S27" s="22">
        <f t="shared" si="4"/>
        <v>1</v>
      </c>
      <c r="T27" s="22">
        <f t="shared" si="5"/>
        <v>2</v>
      </c>
    </row>
    <row r="28" spans="2:20" x14ac:dyDescent="0.25">
      <c r="B28" s="17" t="s">
        <v>239</v>
      </c>
      <c r="C28" s="8"/>
      <c r="D28" s="8"/>
      <c r="E28" s="18">
        <f t="shared" si="0"/>
        <v>0</v>
      </c>
      <c r="G28" s="9"/>
      <c r="H28" s="10"/>
      <c r="I28" s="18">
        <f t="shared" si="1"/>
        <v>0</v>
      </c>
      <c r="K28" s="9"/>
      <c r="L28" s="10"/>
      <c r="M28" s="18">
        <f t="shared" si="2"/>
        <v>0</v>
      </c>
      <c r="O28" s="9">
        <v>1</v>
      </c>
      <c r="P28" s="10">
        <v>2</v>
      </c>
      <c r="Q28" s="18">
        <f t="shared" si="3"/>
        <v>2</v>
      </c>
      <c r="S28" s="22">
        <f t="shared" si="4"/>
        <v>1</v>
      </c>
      <c r="T28" s="22">
        <f t="shared" si="5"/>
        <v>2</v>
      </c>
    </row>
    <row r="29" spans="2:20" x14ac:dyDescent="0.25">
      <c r="B29" s="17" t="s">
        <v>240</v>
      </c>
      <c r="C29" s="8"/>
      <c r="D29" s="8"/>
      <c r="E29" s="18">
        <f t="shared" si="0"/>
        <v>0</v>
      </c>
      <c r="G29" s="9"/>
      <c r="H29" s="10"/>
      <c r="I29" s="18">
        <f t="shared" si="1"/>
        <v>0</v>
      </c>
      <c r="K29" s="9"/>
      <c r="L29" s="10"/>
      <c r="M29" s="18">
        <f t="shared" si="2"/>
        <v>0</v>
      </c>
      <c r="O29" s="9">
        <v>1</v>
      </c>
      <c r="P29" s="10">
        <v>2</v>
      </c>
      <c r="Q29" s="18">
        <f t="shared" si="3"/>
        <v>2</v>
      </c>
      <c r="S29" s="22">
        <f t="shared" si="4"/>
        <v>1</v>
      </c>
      <c r="T29" s="22">
        <f t="shared" si="5"/>
        <v>2</v>
      </c>
    </row>
    <row r="30" spans="2:20" ht="15.75" thickBot="1" x14ac:dyDescent="0.3">
      <c r="B30" s="44" t="s">
        <v>241</v>
      </c>
      <c r="C30" s="8"/>
      <c r="D30" s="8"/>
      <c r="E30" s="18">
        <f t="shared" si="0"/>
        <v>0</v>
      </c>
      <c r="G30" s="9"/>
      <c r="H30" s="10"/>
      <c r="I30" s="18">
        <f t="shared" si="1"/>
        <v>0</v>
      </c>
      <c r="K30" s="9"/>
      <c r="L30" s="10"/>
      <c r="M30" s="18">
        <f t="shared" si="2"/>
        <v>0</v>
      </c>
      <c r="O30" s="9">
        <v>1</v>
      </c>
      <c r="P30" s="10">
        <v>4</v>
      </c>
      <c r="Q30" s="18">
        <f t="shared" si="3"/>
        <v>4</v>
      </c>
      <c r="S30" s="22">
        <f t="shared" si="4"/>
        <v>1</v>
      </c>
      <c r="T30" s="22">
        <f t="shared" si="5"/>
        <v>4</v>
      </c>
    </row>
    <row r="31" spans="2:20" ht="15.75" thickBot="1" x14ac:dyDescent="0.3">
      <c r="B31" s="13" t="s">
        <v>50</v>
      </c>
      <c r="C31" s="24">
        <f t="shared" ref="C31:T31" si="6">SUM(C15:C30)</f>
        <v>2</v>
      </c>
      <c r="D31" s="11"/>
      <c r="E31" s="24">
        <f>SUM(E15:E30)</f>
        <v>4</v>
      </c>
      <c r="G31" s="24">
        <f t="shared" si="6"/>
        <v>1</v>
      </c>
      <c r="H31" s="11"/>
      <c r="I31" s="24">
        <f t="shared" ref="I31" si="7">SUM(I15:I30)</f>
        <v>4</v>
      </c>
      <c r="K31" s="24">
        <f t="shared" ref="K31" si="8">SUM(K15:K30)</f>
        <v>0</v>
      </c>
      <c r="L31" s="11"/>
      <c r="M31" s="24">
        <f t="shared" ref="M31" si="9">SUM(M15:M30)</f>
        <v>0</v>
      </c>
      <c r="O31" s="24">
        <f t="shared" ref="O31" si="10">SUM(O15:O30)</f>
        <v>15</v>
      </c>
      <c r="P31" s="11"/>
      <c r="Q31" s="24">
        <f t="shared" ref="Q31" si="11">SUM(Q15:Q30)</f>
        <v>44</v>
      </c>
      <c r="S31" s="23">
        <f t="shared" si="6"/>
        <v>18</v>
      </c>
      <c r="T31" s="23">
        <f t="shared" si="6"/>
        <v>52</v>
      </c>
    </row>
    <row r="32" spans="2:20" x14ac:dyDescent="0.25">
      <c r="G32" s="25"/>
      <c r="H32" s="25"/>
      <c r="I32" s="25"/>
      <c r="K32" s="25"/>
      <c r="L32" s="25"/>
      <c r="M32" s="25"/>
      <c r="O32" s="25"/>
      <c r="P32" s="25"/>
      <c r="Q32" s="25"/>
    </row>
    <row r="33" spans="7:17" x14ac:dyDescent="0.25">
      <c r="G33" s="25"/>
      <c r="H33" s="25"/>
      <c r="I33" s="25"/>
      <c r="K33" s="25"/>
      <c r="L33" s="25"/>
      <c r="M33" s="25"/>
      <c r="O33" s="25"/>
      <c r="P33" s="25"/>
      <c r="Q33" s="25"/>
    </row>
    <row r="34" spans="7:17" x14ac:dyDescent="0.25">
      <c r="G34" s="25"/>
      <c r="H34" s="25"/>
      <c r="I34" s="25"/>
      <c r="K34" s="25"/>
      <c r="L34" s="25"/>
      <c r="M34" s="25"/>
      <c r="O34" s="25"/>
      <c r="P34" s="25"/>
      <c r="Q34" s="25"/>
    </row>
    <row r="35" spans="7:17" x14ac:dyDescent="0.25">
      <c r="G35" s="25"/>
      <c r="H35" s="25"/>
      <c r="I35" s="25"/>
      <c r="K35" s="25"/>
      <c r="L35" s="25"/>
      <c r="M35" s="25"/>
      <c r="O35" s="25"/>
      <c r="P35" s="25"/>
      <c r="Q35" s="25"/>
    </row>
    <row r="36" spans="7:17" x14ac:dyDescent="0.25">
      <c r="G36" s="25"/>
      <c r="H36" s="25"/>
      <c r="I36" s="25"/>
      <c r="K36" s="25"/>
      <c r="L36" s="25"/>
      <c r="M36" s="25"/>
      <c r="O36" s="25"/>
      <c r="P36" s="25"/>
      <c r="Q36" s="25"/>
    </row>
    <row r="37" spans="7:17" x14ac:dyDescent="0.25">
      <c r="G37" s="25"/>
      <c r="H37" s="25"/>
      <c r="I37" s="25"/>
      <c r="K37" s="25"/>
      <c r="L37" s="25"/>
      <c r="M37" s="25"/>
      <c r="O37" s="25"/>
      <c r="P37" s="25"/>
      <c r="Q37" s="25"/>
    </row>
    <row r="38" spans="7:17" x14ac:dyDescent="0.25">
      <c r="G38" s="25"/>
      <c r="H38" s="25"/>
      <c r="I38" s="25"/>
      <c r="K38" s="25"/>
      <c r="L38" s="25"/>
      <c r="M38" s="25"/>
      <c r="O38" s="25"/>
      <c r="P38" s="25"/>
      <c r="Q38" s="25"/>
    </row>
    <row r="39" spans="7:17" x14ac:dyDescent="0.25">
      <c r="G39" s="25"/>
      <c r="H39" s="25"/>
      <c r="I39" s="25"/>
      <c r="K39" s="25"/>
      <c r="L39" s="25"/>
      <c r="M39" s="25"/>
      <c r="O39" s="25"/>
      <c r="P39" s="25"/>
      <c r="Q39" s="25"/>
    </row>
    <row r="40" spans="7:17" x14ac:dyDescent="0.25">
      <c r="G40" s="25"/>
      <c r="H40" s="25"/>
      <c r="I40" s="25"/>
      <c r="K40" s="25"/>
      <c r="L40" s="25"/>
      <c r="M40" s="25"/>
      <c r="O40" s="25"/>
      <c r="P40" s="25"/>
      <c r="Q40" s="25"/>
    </row>
    <row r="41" spans="7:17" x14ac:dyDescent="0.25">
      <c r="G41" s="25"/>
      <c r="H41" s="25"/>
      <c r="I41" s="25"/>
      <c r="K41" s="25"/>
      <c r="L41" s="25"/>
      <c r="M41" s="25"/>
      <c r="O41" s="25"/>
      <c r="P41" s="25"/>
      <c r="Q41" s="25"/>
    </row>
    <row r="42" spans="7:17" x14ac:dyDescent="0.25">
      <c r="G42" s="25"/>
      <c r="H42" s="25"/>
      <c r="I42" s="25"/>
      <c r="K42" s="25"/>
      <c r="L42" s="25"/>
      <c r="M42" s="25"/>
      <c r="O42" s="25"/>
      <c r="P42" s="25"/>
      <c r="Q42" s="25"/>
    </row>
    <row r="43" spans="7:17" x14ac:dyDescent="0.25">
      <c r="G43" s="25"/>
      <c r="H43" s="25"/>
      <c r="I43" s="25"/>
      <c r="K43" s="25"/>
      <c r="L43" s="25"/>
      <c r="M43" s="25"/>
      <c r="O43" s="25"/>
      <c r="P43" s="25"/>
      <c r="Q43" s="25"/>
    </row>
    <row r="44" spans="7:17" x14ac:dyDescent="0.25">
      <c r="G44" s="25"/>
      <c r="H44" s="25"/>
      <c r="I44" s="25"/>
      <c r="K44" s="25"/>
      <c r="L44" s="25"/>
      <c r="M44" s="25"/>
      <c r="O44" s="25"/>
      <c r="P44" s="25"/>
      <c r="Q44" s="25"/>
    </row>
    <row r="45" spans="7:17" x14ac:dyDescent="0.25">
      <c r="G45" s="25"/>
      <c r="H45" s="25"/>
      <c r="I45" s="25"/>
      <c r="K45" s="25"/>
      <c r="L45" s="25"/>
      <c r="M45" s="25"/>
      <c r="O45" s="25"/>
      <c r="P45" s="25"/>
      <c r="Q45" s="25"/>
    </row>
    <row r="46" spans="7:17" x14ac:dyDescent="0.25">
      <c r="G46" s="25"/>
      <c r="H46" s="25"/>
      <c r="I46" s="25"/>
      <c r="K46" s="25"/>
      <c r="L46" s="25"/>
      <c r="M46" s="25"/>
      <c r="O46" s="25"/>
      <c r="P46" s="25"/>
      <c r="Q46" s="25"/>
    </row>
    <row r="47" spans="7:17" x14ac:dyDescent="0.25">
      <c r="G47" s="25"/>
      <c r="H47" s="25"/>
      <c r="I47" s="25"/>
      <c r="K47" s="25"/>
      <c r="L47" s="25"/>
      <c r="M47" s="25"/>
      <c r="O47" s="25"/>
      <c r="P47" s="25"/>
      <c r="Q47" s="25"/>
    </row>
    <row r="48" spans="7:17" x14ac:dyDescent="0.25">
      <c r="G48" s="25"/>
      <c r="H48" s="25"/>
      <c r="I48" s="25"/>
      <c r="K48" s="25"/>
      <c r="L48" s="25"/>
      <c r="M48" s="25"/>
      <c r="O48" s="25"/>
      <c r="P48" s="25"/>
      <c r="Q48" s="25"/>
    </row>
    <row r="49" spans="1:17" x14ac:dyDescent="0.25">
      <c r="G49" s="25"/>
      <c r="H49" s="25"/>
      <c r="I49" s="25"/>
      <c r="K49" s="25"/>
      <c r="L49" s="25"/>
      <c r="M49" s="25"/>
      <c r="O49" s="25"/>
      <c r="P49" s="25"/>
      <c r="Q49" s="25"/>
    </row>
    <row r="50" spans="1:17" x14ac:dyDescent="0.25">
      <c r="G50" s="25"/>
      <c r="H50" s="25"/>
      <c r="I50" s="25"/>
      <c r="K50" s="25"/>
      <c r="L50" s="25"/>
      <c r="M50" s="25"/>
      <c r="O50" s="25"/>
      <c r="P50" s="25"/>
      <c r="Q50" s="25"/>
    </row>
    <row r="51" spans="1:17" x14ac:dyDescent="0.25">
      <c r="G51" s="25"/>
      <c r="H51" s="25"/>
      <c r="I51" s="25"/>
      <c r="K51" s="25"/>
      <c r="L51" s="25"/>
      <c r="M51" s="25"/>
      <c r="O51" s="25"/>
      <c r="P51" s="25"/>
      <c r="Q51" s="25"/>
    </row>
    <row r="52" spans="1:17" x14ac:dyDescent="0.25">
      <c r="G52" s="25"/>
      <c r="H52" s="25"/>
      <c r="I52" s="25"/>
      <c r="K52" s="25"/>
      <c r="L52" s="25"/>
      <c r="M52" s="25"/>
      <c r="O52" s="25"/>
      <c r="P52" s="25"/>
      <c r="Q52" s="25"/>
    </row>
    <row r="53" spans="1:17" x14ac:dyDescent="0.25">
      <c r="G53" s="25"/>
      <c r="H53" s="25"/>
      <c r="I53" s="25"/>
      <c r="K53" s="25"/>
      <c r="L53" s="25"/>
      <c r="M53" s="25"/>
      <c r="O53" s="25"/>
      <c r="P53" s="25"/>
      <c r="Q53" s="25"/>
    </row>
    <row r="54" spans="1:17" x14ac:dyDescent="0.25">
      <c r="G54" s="25"/>
      <c r="H54" s="25"/>
      <c r="I54" s="25"/>
      <c r="K54" s="25"/>
      <c r="L54" s="25"/>
      <c r="M54" s="25"/>
      <c r="O54" s="25"/>
      <c r="P54" s="25"/>
      <c r="Q54" s="25"/>
    </row>
    <row r="55" spans="1:17" x14ac:dyDescent="0.25">
      <c r="G55" s="25"/>
      <c r="H55" s="25"/>
      <c r="I55" s="25"/>
      <c r="K55" s="25"/>
      <c r="L55" s="25"/>
      <c r="M55" s="25"/>
      <c r="O55" s="25"/>
      <c r="P55" s="25"/>
      <c r="Q55" s="25"/>
    </row>
    <row r="56" spans="1:17" x14ac:dyDescent="0.25">
      <c r="A56" s="4" t="s">
        <v>78</v>
      </c>
    </row>
    <row r="57" spans="1:17" x14ac:dyDescent="0.25">
      <c r="B57" s="33" t="s">
        <v>79</v>
      </c>
    </row>
    <row r="58" spans="1:17" x14ac:dyDescent="0.25">
      <c r="B58" s="33" t="s">
        <v>80</v>
      </c>
    </row>
    <row r="59" spans="1:17" x14ac:dyDescent="0.25">
      <c r="B59" s="33" t="s">
        <v>81</v>
      </c>
    </row>
    <row r="60" spans="1:17" x14ac:dyDescent="0.25">
      <c r="B60" s="33" t="s">
        <v>83</v>
      </c>
    </row>
    <row r="61" spans="1:17" x14ac:dyDescent="0.25">
      <c r="B61" s="33" t="s">
        <v>82</v>
      </c>
    </row>
    <row r="62" spans="1:17" x14ac:dyDescent="0.25">
      <c r="B62" s="33" t="s">
        <v>84</v>
      </c>
    </row>
  </sheetData>
  <dataConsolidate/>
  <mergeCells count="5">
    <mergeCell ref="G13:J13"/>
    <mergeCell ref="K13:N13"/>
    <mergeCell ref="O13:R13"/>
    <mergeCell ref="S13:T13"/>
    <mergeCell ref="C13:F13"/>
  </mergeCells>
  <conditionalFormatting sqref="T31">
    <cfRule type="cellIs" dxfId="1" priority="1" operator="greaterThan">
      <formula>$B$8</formula>
    </cfRule>
  </conditionalFormatting>
  <dataValidations count="5">
    <dataValidation type="custom" allowBlank="1" showInputMessage="1" showErrorMessage="1" errorTitle="Error" error="Pon un correo válido en la UH" promptTitle="Correo" prompt="Pon tu correo en la UH" sqref="B11">
      <formula1>ISNUMBER(MATCH("*@*.uh.cu",B11,0))</formula1>
    </dataValidation>
    <dataValidation type="whole" showInputMessage="1" showErrorMessage="1" sqref="B8">
      <formula1>0</formula1>
      <formula2>200</formula2>
    </dataValidation>
    <dataValidation type="list" allowBlank="1" showInputMessage="1" showErrorMessage="1" sqref="B2">
      <formula1>Carreras</formula1>
    </dataValidation>
    <dataValidation type="list" allowBlank="1" showInputMessage="1" showErrorMessage="1" sqref="B6">
      <formula1>INDIRECT(SUBSTITUTE(B2," ","_")&amp;"_Asignaturas")</formula1>
    </dataValidation>
    <dataValidation type="list" allowBlank="1" showInputMessage="1" showErrorMessage="1" sqref="B5">
      <formula1>INDIRECT(SUBSTITUTE(B2," ","_")&amp;"_Disciplinas")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9525</xdr:rowOff>
                  </from>
                  <to>
                    <xdr:col>5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Check Box 10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9525</xdr:rowOff>
                  </from>
                  <to>
                    <xdr:col>5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9525</xdr:rowOff>
                  </from>
                  <to>
                    <xdr:col>5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Check Box 12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Check Box 13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19</xdr:row>
                    <xdr:rowOff>9525</xdr:rowOff>
                  </from>
                  <to>
                    <xdr:col>5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Check Box 15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9525</xdr:rowOff>
                  </from>
                  <to>
                    <xdr:col>5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Check Box 16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9525</xdr:rowOff>
                  </from>
                  <to>
                    <xdr:col>5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2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9525</xdr:rowOff>
                  </from>
                  <to>
                    <xdr:col>5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3" name="Check Box 18">
              <controlPr defaultSize="0" autoFill="0" autoLine="0" autoPict="0">
                <anchor moveWithCells="1">
                  <from>
                    <xdr:col>5</xdr:col>
                    <xdr:colOff>9525</xdr:colOff>
                    <xdr:row>23</xdr:row>
                    <xdr:rowOff>9525</xdr:rowOff>
                  </from>
                  <to>
                    <xdr:col>5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4" name="Check Box 19">
              <controlPr defaultSize="0" autoFill="0" autoLine="0" autoPict="0">
                <anchor moveWithCells="1">
                  <from>
                    <xdr:col>5</xdr:col>
                    <xdr:colOff>9525</xdr:colOff>
                    <xdr:row>24</xdr:row>
                    <xdr:rowOff>9525</xdr:rowOff>
                  </from>
                  <to>
                    <xdr:col>5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Check Box 20">
              <controlPr defaultSize="0" autoFill="0" autoLine="0" autoPict="0">
                <anchor mov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5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Check Box 21">
              <controlPr defaultSize="0" autoFill="0" autoLine="0" autoPict="0">
                <anchor mov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7" name="Check Box 22">
              <controlPr defaultSize="0" autoFill="0" autoLine="0" autoPict="0">
                <anchor moveWithCells="1">
                  <from>
                    <xdr:col>5</xdr:col>
                    <xdr:colOff>9525</xdr:colOff>
                    <xdr:row>27</xdr:row>
                    <xdr:rowOff>9525</xdr:rowOff>
                  </from>
                  <to>
                    <xdr:col>5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8" name="Check Box 23">
              <controlPr defaultSize="0" autoFill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9" name="Check Box 24">
              <controlPr defaultSize="0" autoFill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20" name="Check Box 15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9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21" name="Check Box 154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9525</xdr:rowOff>
                  </from>
                  <to>
                    <xdr:col>9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22" name="Check Box 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9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23" name="Check Box 156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9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24" name="Check Box 157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9525</xdr:rowOff>
                  </from>
                  <to>
                    <xdr:col>9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25" name="Check Box 158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9525</xdr:rowOff>
                  </from>
                  <to>
                    <xdr:col>9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26" name="Check Box 159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9525</xdr:rowOff>
                  </from>
                  <to>
                    <xdr:col>9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27" name="Check Box 160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9525</xdr:rowOff>
                  </from>
                  <to>
                    <xdr:col>9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28" name="Check Box 161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9525</xdr:rowOff>
                  </from>
                  <to>
                    <xdr:col>9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29" name="Check Box 162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9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30" name="Check Box 163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9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31" name="Check Box 164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9525</xdr:rowOff>
                  </from>
                  <to>
                    <xdr:col>9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32" name="Check Box 165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9525</xdr:rowOff>
                  </from>
                  <to>
                    <xdr:col>9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33" name="Check Box 166">
              <controlPr defaultSize="0" autoFill="0" autoLine="0" autoPict="0">
                <anchor moveWithCells="1">
                  <from>
                    <xdr:col>9</xdr:col>
                    <xdr:colOff>9525</xdr:colOff>
                    <xdr:row>27</xdr:row>
                    <xdr:rowOff>9525</xdr:rowOff>
                  </from>
                  <to>
                    <xdr:col>9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34" name="Check Box 167">
              <controlPr defaultSize="0" autoFill="0" autoLine="0" autoPict="0">
                <anchor moveWithCells="1">
                  <from>
                    <xdr:col>9</xdr:col>
                    <xdr:colOff>9525</xdr:colOff>
                    <xdr:row>28</xdr:row>
                    <xdr:rowOff>9525</xdr:rowOff>
                  </from>
                  <to>
                    <xdr:col>9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35" name="Check Box 168">
              <controlPr defaultSize="0" autoFill="0" autoLine="0" autoPict="0">
                <anchor moveWithCells="1">
                  <from>
                    <xdr:col>9</xdr:col>
                    <xdr:colOff>9525</xdr:colOff>
                    <xdr:row>29</xdr:row>
                    <xdr:rowOff>9525</xdr:rowOff>
                  </from>
                  <to>
                    <xdr:col>9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36" name="Check Box 169">
              <controlPr defaultSize="0" autoFill="0" autoLine="0" autoPict="0">
                <anchor moveWithCells="1">
                  <from>
                    <xdr:col>13</xdr:col>
                    <xdr:colOff>9525</xdr:colOff>
                    <xdr:row>14</xdr:row>
                    <xdr:rowOff>9525</xdr:rowOff>
                  </from>
                  <to>
                    <xdr:col>13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37" name="Check Box 170">
              <controlPr defaultSize="0" autoFill="0" autoLine="0" autoPict="0">
                <anchor moveWithCells="1">
                  <from>
                    <xdr:col>13</xdr:col>
                    <xdr:colOff>9525</xdr:colOff>
                    <xdr:row>15</xdr:row>
                    <xdr:rowOff>9525</xdr:rowOff>
                  </from>
                  <to>
                    <xdr:col>13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38" name="Check Box 171">
              <controlPr defaultSize="0" autoFill="0" autoLine="0" autoPict="0">
                <anchor moveWithCells="1">
                  <from>
                    <xdr:col>13</xdr:col>
                    <xdr:colOff>9525</xdr:colOff>
                    <xdr:row>16</xdr:row>
                    <xdr:rowOff>9525</xdr:rowOff>
                  </from>
                  <to>
                    <xdr:col>13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39" name="Check Box 172">
              <controlPr defaultSize="0" autoFill="0" autoLine="0" autoPict="0">
                <anchor moveWithCells="1">
                  <from>
                    <xdr:col>13</xdr:col>
                    <xdr:colOff>9525</xdr:colOff>
                    <xdr:row>17</xdr:row>
                    <xdr:rowOff>9525</xdr:rowOff>
                  </from>
                  <to>
                    <xdr:col>13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40" name="Check Box 173">
              <controlPr defaultSize="0" autoFill="0" autoLine="0" autoPict="0">
                <anchor moveWithCells="1">
                  <from>
                    <xdr:col>13</xdr:col>
                    <xdr:colOff>9525</xdr:colOff>
                    <xdr:row>18</xdr:row>
                    <xdr:rowOff>9525</xdr:rowOff>
                  </from>
                  <to>
                    <xdr:col>13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41" name="Check Box 174">
              <controlPr defaultSize="0" autoFill="0" autoLine="0" autoPict="0">
                <anchor moveWithCells="1">
                  <from>
                    <xdr:col>13</xdr:col>
                    <xdr:colOff>9525</xdr:colOff>
                    <xdr:row>19</xdr:row>
                    <xdr:rowOff>9525</xdr:rowOff>
                  </from>
                  <to>
                    <xdr:col>13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42" name="Check Box 175">
              <controlPr defaultSize="0" autoFill="0" autoLine="0" autoPict="0">
                <anchor moveWithCells="1">
                  <from>
                    <xdr:col>13</xdr:col>
                    <xdr:colOff>9525</xdr:colOff>
                    <xdr:row>20</xdr:row>
                    <xdr:rowOff>9525</xdr:rowOff>
                  </from>
                  <to>
                    <xdr:col>13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43" name="Check Box 176">
              <controlPr defaultSize="0" autoFill="0" autoLine="0" autoPict="0">
                <anchor moveWithCells="1">
                  <from>
                    <xdr:col>13</xdr:col>
                    <xdr:colOff>9525</xdr:colOff>
                    <xdr:row>21</xdr:row>
                    <xdr:rowOff>9525</xdr:rowOff>
                  </from>
                  <to>
                    <xdr:col>13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44" name="Check Box 177">
              <controlPr defaultSize="0" autoFill="0" autoLine="0" autoPict="0">
                <anchor moveWithCells="1">
                  <from>
                    <xdr:col>13</xdr:col>
                    <xdr:colOff>9525</xdr:colOff>
                    <xdr:row>22</xdr:row>
                    <xdr:rowOff>9525</xdr:rowOff>
                  </from>
                  <to>
                    <xdr:col>13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45" name="Check Box 178">
              <controlPr defaultSize="0" autoFill="0" autoLine="0" autoPict="0">
                <anchor moveWithCells="1">
                  <from>
                    <xdr:col>13</xdr:col>
                    <xdr:colOff>9525</xdr:colOff>
                    <xdr:row>23</xdr:row>
                    <xdr:rowOff>9525</xdr:rowOff>
                  </from>
                  <to>
                    <xdr:col>13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46" name="Check Box 179">
              <controlPr defaultSize="0" autoFill="0" autoLine="0" autoPict="0">
                <anchor moveWithCells="1">
                  <from>
                    <xdr:col>13</xdr:col>
                    <xdr:colOff>9525</xdr:colOff>
                    <xdr:row>24</xdr:row>
                    <xdr:rowOff>9525</xdr:rowOff>
                  </from>
                  <to>
                    <xdr:col>13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47" name="Check Box 180">
              <controlPr defaultSize="0" autoFill="0" autoLine="0" autoPict="0">
                <anchor moveWithCells="1">
                  <from>
                    <xdr:col>13</xdr:col>
                    <xdr:colOff>9525</xdr:colOff>
                    <xdr:row>25</xdr:row>
                    <xdr:rowOff>9525</xdr:rowOff>
                  </from>
                  <to>
                    <xdr:col>13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48" name="Check Box 181">
              <controlPr defaultSize="0" autoFill="0" autoLine="0" autoPict="0">
                <anchor moveWithCells="1">
                  <from>
                    <xdr:col>13</xdr:col>
                    <xdr:colOff>9525</xdr:colOff>
                    <xdr:row>26</xdr:row>
                    <xdr:rowOff>9525</xdr:rowOff>
                  </from>
                  <to>
                    <xdr:col>13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49" name="Check Box 182">
              <controlPr defaultSize="0" autoFill="0" autoLine="0" autoPict="0">
                <anchor moveWithCells="1">
                  <from>
                    <xdr:col>13</xdr:col>
                    <xdr:colOff>9525</xdr:colOff>
                    <xdr:row>27</xdr:row>
                    <xdr:rowOff>9525</xdr:rowOff>
                  </from>
                  <to>
                    <xdr:col>13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50" name="Check Box 183">
              <controlPr defaultSize="0" autoFill="0" autoLine="0" autoPict="0">
                <anchor moveWithCells="1">
                  <from>
                    <xdr:col>13</xdr:col>
                    <xdr:colOff>9525</xdr:colOff>
                    <xdr:row>28</xdr:row>
                    <xdr:rowOff>9525</xdr:rowOff>
                  </from>
                  <to>
                    <xdr:col>13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51" name="Check Box 184">
              <controlPr defaultSize="0" autoFill="0" autoLine="0" autoPict="0">
                <anchor moveWithCells="1">
                  <from>
                    <xdr:col>13</xdr:col>
                    <xdr:colOff>9525</xdr:colOff>
                    <xdr:row>29</xdr:row>
                    <xdr:rowOff>9525</xdr:rowOff>
                  </from>
                  <to>
                    <xdr:col>13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2" name="Check Box 185">
              <controlPr defaultSize="0" autoFill="0" autoLine="0" autoPict="0">
                <anchor moveWithCells="1">
                  <from>
                    <xdr:col>17</xdr:col>
                    <xdr:colOff>9525</xdr:colOff>
                    <xdr:row>14</xdr:row>
                    <xdr:rowOff>9525</xdr:rowOff>
                  </from>
                  <to>
                    <xdr:col>17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53" name="Check Box 186">
              <controlPr defaultSize="0" autoFill="0" autoLine="0" autoPict="0">
                <anchor moveWithCells="1">
                  <from>
                    <xdr:col>17</xdr:col>
                    <xdr:colOff>9525</xdr:colOff>
                    <xdr:row>15</xdr:row>
                    <xdr:rowOff>9525</xdr:rowOff>
                  </from>
                  <to>
                    <xdr:col>17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54" name="Check Box 187">
              <controlPr defaultSize="0" autoFill="0" autoLine="0" autoPict="0">
                <anchor moveWithCells="1">
                  <from>
                    <xdr:col>17</xdr:col>
                    <xdr:colOff>9525</xdr:colOff>
                    <xdr:row>16</xdr:row>
                    <xdr:rowOff>9525</xdr:rowOff>
                  </from>
                  <to>
                    <xdr:col>17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55" name="Check Box 188">
              <controlPr defaultSize="0" autoFill="0" autoLine="0" autoPict="0">
                <anchor moveWithCells="1">
                  <from>
                    <xdr:col>17</xdr:col>
                    <xdr:colOff>9525</xdr:colOff>
                    <xdr:row>17</xdr:row>
                    <xdr:rowOff>9525</xdr:rowOff>
                  </from>
                  <to>
                    <xdr:col>17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56" name="Check Box 189">
              <controlPr defaultSize="0" autoFill="0" autoLine="0" autoPict="0">
                <anchor moveWithCells="1">
                  <from>
                    <xdr:col>17</xdr:col>
                    <xdr:colOff>9525</xdr:colOff>
                    <xdr:row>18</xdr:row>
                    <xdr:rowOff>9525</xdr:rowOff>
                  </from>
                  <to>
                    <xdr:col>17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57" name="Check Box 190">
              <controlPr defaultSize="0" autoFill="0" autoLine="0" autoPict="0">
                <anchor moveWithCells="1">
                  <from>
                    <xdr:col>17</xdr:col>
                    <xdr:colOff>9525</xdr:colOff>
                    <xdr:row>19</xdr:row>
                    <xdr:rowOff>9525</xdr:rowOff>
                  </from>
                  <to>
                    <xdr:col>17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58" name="Check Box 191">
              <controlPr defaultSize="0" autoFill="0" autoLine="0" autoPict="0">
                <anchor moveWithCells="1">
                  <from>
                    <xdr:col>17</xdr:col>
                    <xdr:colOff>9525</xdr:colOff>
                    <xdr:row>20</xdr:row>
                    <xdr:rowOff>9525</xdr:rowOff>
                  </from>
                  <to>
                    <xdr:col>17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59" name="Check Box 192">
              <controlPr defaultSize="0" autoFill="0" autoLine="0" autoPict="0">
                <anchor moveWithCells="1">
                  <from>
                    <xdr:col>17</xdr:col>
                    <xdr:colOff>9525</xdr:colOff>
                    <xdr:row>21</xdr:row>
                    <xdr:rowOff>9525</xdr:rowOff>
                  </from>
                  <to>
                    <xdr:col>17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60" name="Check Box 193">
              <controlPr defaultSize="0" autoFill="0" autoLine="0" autoPict="0">
                <anchor moveWithCells="1">
                  <from>
                    <xdr:col>17</xdr:col>
                    <xdr:colOff>9525</xdr:colOff>
                    <xdr:row>22</xdr:row>
                    <xdr:rowOff>9525</xdr:rowOff>
                  </from>
                  <to>
                    <xdr:col>17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61" name="Check Box 194">
              <controlPr defaultSize="0" autoFill="0" autoLine="0" autoPict="0">
                <anchor moveWithCells="1">
                  <from>
                    <xdr:col>17</xdr:col>
                    <xdr:colOff>9525</xdr:colOff>
                    <xdr:row>23</xdr:row>
                    <xdr:rowOff>9525</xdr:rowOff>
                  </from>
                  <to>
                    <xdr:col>17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62" name="Check Box 195">
              <controlPr defaultSize="0" autoFill="0" autoLine="0" autoPict="0">
                <anchor moveWithCells="1">
                  <from>
                    <xdr:col>17</xdr:col>
                    <xdr:colOff>9525</xdr:colOff>
                    <xdr:row>24</xdr:row>
                    <xdr:rowOff>9525</xdr:rowOff>
                  </from>
                  <to>
                    <xdr:col>17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63" name="Check Box 196">
              <controlPr defaultSize="0" autoFill="0" autoLine="0" autoPict="0">
                <anchor moveWithCells="1">
                  <from>
                    <xdr:col>17</xdr:col>
                    <xdr:colOff>9525</xdr:colOff>
                    <xdr:row>25</xdr:row>
                    <xdr:rowOff>9525</xdr:rowOff>
                  </from>
                  <to>
                    <xdr:col>17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64" name="Check Box 197">
              <controlPr defaultSize="0" autoFill="0" autoLine="0" autoPict="0">
                <anchor moveWithCells="1">
                  <from>
                    <xdr:col>17</xdr:col>
                    <xdr:colOff>9525</xdr:colOff>
                    <xdr:row>26</xdr:row>
                    <xdr:rowOff>9525</xdr:rowOff>
                  </from>
                  <to>
                    <xdr:col>17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65" name="Check Box 198">
              <controlPr defaultSize="0" autoFill="0" autoLine="0" autoPict="0">
                <anchor moveWithCells="1">
                  <from>
                    <xdr:col>17</xdr:col>
                    <xdr:colOff>9525</xdr:colOff>
                    <xdr:row>27</xdr:row>
                    <xdr:rowOff>9525</xdr:rowOff>
                  </from>
                  <to>
                    <xdr:col>17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66" name="Check Box 199">
              <controlPr defaultSize="0" autoFill="0" autoLine="0" autoPict="0">
                <anchor moveWithCells="1">
                  <from>
                    <xdr:col>17</xdr:col>
                    <xdr:colOff>9525</xdr:colOff>
                    <xdr:row>28</xdr:row>
                    <xdr:rowOff>9525</xdr:rowOff>
                  </from>
                  <to>
                    <xdr:col>17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7" name="Check Box 200">
              <controlPr defaultSize="0" autoFill="0" autoLine="0" autoPict="0">
                <anchor moveWithCells="1">
                  <from>
                    <xdr:col>17</xdr:col>
                    <xdr:colOff>9525</xdr:colOff>
                    <xdr:row>29</xdr:row>
                    <xdr:rowOff>9525</xdr:rowOff>
                  </from>
                  <to>
                    <xdr:col>17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" error="fíjate que el formato es: _x000a_- la palabra Curso con mayúscula_x000a_- seguidamente (sin espacios) dos dígitos para el inicio_x000a_- un guion_x000a_- dos dígitos para el final" promptTitle="Curso" prompt="Escribe el curso con el siguiente formato: _x000a_Curso25-26_x000a_">
          <x14:formula1>
            <xm:f>evals!$A$2:$A$5</xm:f>
          </x14:formula1>
          <xm:sqref>B9</xm:sqref>
        </x14:dataValidation>
        <x14:dataValidation type="list" allowBlank="1" showInputMessage="1" showErrorMessage="1">
          <x14:formula1>
            <xm:f>evals!$B$2:$B$5</xm:f>
          </x14:formula1>
          <xm:sqref>B3</xm:sqref>
        </x14:dataValidation>
        <x14:dataValidation type="list" allowBlank="1" showInputMessage="1" showErrorMessage="1">
          <x14:formula1>
            <xm:f>evals!$C$2:$C$3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60"/>
  <sheetViews>
    <sheetView topLeftCell="A4" workbookViewId="0">
      <selection activeCell="E28" sqref="E28"/>
    </sheetView>
  </sheetViews>
  <sheetFormatPr baseColWidth="10" defaultRowHeight="15" x14ac:dyDescent="0.25"/>
  <cols>
    <col min="1" max="1" width="13.5703125" style="3" customWidth="1"/>
    <col min="2" max="2" width="8" style="3" customWidth="1"/>
    <col min="3" max="3" width="15.28515625" style="3" customWidth="1"/>
    <col min="4" max="4" width="15.7109375" style="3" customWidth="1"/>
    <col min="5" max="5" width="16.5703125" style="3" customWidth="1"/>
    <col min="6" max="6" width="18.42578125" style="3" customWidth="1"/>
    <col min="7" max="16384" width="11.42578125" style="3"/>
  </cols>
  <sheetData>
    <row r="1" spans="1:7" x14ac:dyDescent="0.25">
      <c r="A1" s="11"/>
      <c r="B1" s="11"/>
      <c r="C1" s="54" t="s">
        <v>0</v>
      </c>
      <c r="D1" s="54"/>
      <c r="E1" s="54"/>
      <c r="F1" s="11"/>
      <c r="G1" s="11"/>
    </row>
    <row r="2" spans="1:7" x14ac:dyDescent="0.25">
      <c r="A2" s="13" t="s">
        <v>1</v>
      </c>
      <c r="B2" s="36" t="str">
        <f>'Llenar datos'!B6</f>
        <v>Computación</v>
      </c>
      <c r="C2" s="11"/>
      <c r="D2" s="11"/>
      <c r="E2" s="13" t="s">
        <v>5</v>
      </c>
      <c r="F2" s="37" t="str">
        <f>'Llenar datos'!B2</f>
        <v>Biología</v>
      </c>
      <c r="G2" s="11"/>
    </row>
    <row r="3" spans="1:7" x14ac:dyDescent="0.25">
      <c r="A3" s="13" t="s">
        <v>2</v>
      </c>
      <c r="B3" s="36">
        <f>'Llenar datos'!B3</f>
        <v>3</v>
      </c>
      <c r="C3" s="11"/>
      <c r="D3" s="11"/>
      <c r="E3" s="13" t="s">
        <v>6</v>
      </c>
      <c r="F3" s="37" t="str">
        <f>'Llenar datos'!B5</f>
        <v>Matemática Superior y Computación</v>
      </c>
      <c r="G3" s="11"/>
    </row>
    <row r="4" spans="1:7" x14ac:dyDescent="0.25">
      <c r="A4" s="13" t="s">
        <v>3</v>
      </c>
      <c r="B4" s="36" t="str">
        <f>'Llenar datos'!B9</f>
        <v>Curso25-26</v>
      </c>
      <c r="C4" s="11"/>
      <c r="D4" s="11"/>
      <c r="E4" s="13" t="s">
        <v>7</v>
      </c>
      <c r="F4" s="37" t="str">
        <f>'Llenar datos'!B4</f>
        <v>2do</v>
      </c>
      <c r="G4" s="11"/>
    </row>
    <row r="5" spans="1:7" x14ac:dyDescent="0.25">
      <c r="A5" s="13" t="s">
        <v>45</v>
      </c>
      <c r="B5" s="36" t="str">
        <f>'Llenar datos'!B10</f>
        <v>Andrés Machado</v>
      </c>
      <c r="C5" s="11"/>
      <c r="D5" s="11"/>
      <c r="E5" s="11"/>
      <c r="F5" s="11"/>
      <c r="G5" s="11"/>
    </row>
    <row r="6" spans="1:7" ht="44.25" customHeight="1" x14ac:dyDescent="0.25">
      <c r="A6" s="11"/>
      <c r="B6" s="38" t="s">
        <v>27</v>
      </c>
      <c r="C6" s="39" t="s">
        <v>41</v>
      </c>
      <c r="D6" s="39" t="s">
        <v>42</v>
      </c>
      <c r="E6" s="39" t="s">
        <v>43</v>
      </c>
      <c r="F6" s="39" t="s">
        <v>44</v>
      </c>
      <c r="G6" s="11"/>
    </row>
    <row r="7" spans="1:7" x14ac:dyDescent="0.25">
      <c r="A7" s="11"/>
      <c r="B7" s="38">
        <f>ROW(A1)</f>
        <v>1</v>
      </c>
      <c r="C7" s="38" t="str">
        <f>'Llenar datos'!C15&amp;"("&amp;'Llenar datos'!E15 &amp; ")"</f>
        <v>1(2)</v>
      </c>
      <c r="D7" s="38" t="str">
        <f>'Llenar datos'!G15&amp;"("&amp;'Llenar datos'!I15 &amp; ")"</f>
        <v>(0)</v>
      </c>
      <c r="E7" s="38" t="str">
        <f>'Llenar datos'!K15&amp;"("&amp;'Llenar datos'!M15 &amp; ")"</f>
        <v>(0)</v>
      </c>
      <c r="F7" s="38" t="str">
        <f>'Llenar datos'!O15&amp;"("&amp;'Llenar datos'!Q15 &amp; ")"</f>
        <v>1(2)</v>
      </c>
      <c r="G7" s="11"/>
    </row>
    <row r="8" spans="1:7" x14ac:dyDescent="0.25">
      <c r="A8" s="11"/>
      <c r="B8" s="38">
        <f t="shared" ref="B8:B22" si="0">ROW(A2)</f>
        <v>2</v>
      </c>
      <c r="C8" s="38" t="str">
        <f>'Llenar datos'!C16&amp;"("&amp;'Llenar datos'!E16 &amp; ")"</f>
        <v>(0)</v>
      </c>
      <c r="D8" s="38" t="str">
        <f>'Llenar datos'!G16&amp;"("&amp;'Llenar datos'!I16 &amp; ")"</f>
        <v>(0)</v>
      </c>
      <c r="E8" s="38" t="str">
        <f>'Llenar datos'!K16&amp;"("&amp;'Llenar datos'!M16 &amp; ")"</f>
        <v>(0)</v>
      </c>
      <c r="F8" s="38" t="str">
        <f>'Llenar datos'!O16&amp;"("&amp;'Llenar datos'!Q16 &amp; ")"</f>
        <v>1(4)</v>
      </c>
      <c r="G8" s="11"/>
    </row>
    <row r="9" spans="1:7" x14ac:dyDescent="0.25">
      <c r="A9" s="11"/>
      <c r="B9" s="38">
        <f t="shared" si="0"/>
        <v>3</v>
      </c>
      <c r="C9" s="38" t="str">
        <f>'Llenar datos'!C17&amp;"("&amp;'Llenar datos'!E17 &amp; ")"</f>
        <v>(0)</v>
      </c>
      <c r="D9" s="38" t="str">
        <f>'Llenar datos'!G17&amp;"("&amp;'Llenar datos'!I17 &amp; ")"</f>
        <v>(0)</v>
      </c>
      <c r="E9" s="38" t="str">
        <f>'Llenar datos'!K17&amp;"("&amp;'Llenar datos'!M17 &amp; ")"</f>
        <v>(0)</v>
      </c>
      <c r="F9" s="38" t="str">
        <f>'Llenar datos'!O17&amp;"("&amp;'Llenar datos'!Q17 &amp; ")"</f>
        <v>1(4)</v>
      </c>
      <c r="G9" s="11"/>
    </row>
    <row r="10" spans="1:7" x14ac:dyDescent="0.25">
      <c r="A10" s="11"/>
      <c r="B10" s="38">
        <f t="shared" si="0"/>
        <v>4</v>
      </c>
      <c r="C10" s="38" t="str">
        <f>'Llenar datos'!C18&amp;"("&amp;'Llenar datos'!E18 &amp; ")"</f>
        <v>(0)</v>
      </c>
      <c r="D10" s="38" t="str">
        <f>'Llenar datos'!G18&amp;"("&amp;'Llenar datos'!I18 &amp; ")"</f>
        <v>(0)</v>
      </c>
      <c r="E10" s="38" t="str">
        <f>'Llenar datos'!K18&amp;"("&amp;'Llenar datos'!M18 &amp; ")"</f>
        <v>(0)</v>
      </c>
      <c r="F10" s="38" t="str">
        <f>'Llenar datos'!O18&amp;"("&amp;'Llenar datos'!Q18 &amp; ")"</f>
        <v>1(4)</v>
      </c>
      <c r="G10" s="11"/>
    </row>
    <row r="11" spans="1:7" x14ac:dyDescent="0.25">
      <c r="A11" s="11"/>
      <c r="B11" s="38">
        <f t="shared" si="0"/>
        <v>5</v>
      </c>
      <c r="C11" s="38" t="str">
        <f>'Llenar datos'!C19&amp;"("&amp;'Llenar datos'!E19 &amp; ")"</f>
        <v>(0)</v>
      </c>
      <c r="D11" s="38" t="str">
        <f>'Llenar datos'!G19&amp;"("&amp;'Llenar datos'!I19 &amp; ")"</f>
        <v>(0)</v>
      </c>
      <c r="E11" s="38" t="str">
        <f>'Llenar datos'!K19&amp;"("&amp;'Llenar datos'!M19 &amp; ")"</f>
        <v>(0)</v>
      </c>
      <c r="F11" s="38" t="str">
        <f>'Llenar datos'!O19&amp;"("&amp;'Llenar datos'!Q19 &amp; ")"</f>
        <v>1(2)</v>
      </c>
      <c r="G11" s="11"/>
    </row>
    <row r="12" spans="1:7" x14ac:dyDescent="0.25">
      <c r="A12" s="11"/>
      <c r="B12" s="38">
        <f t="shared" si="0"/>
        <v>6</v>
      </c>
      <c r="C12" s="38" t="str">
        <f>'Llenar datos'!C20&amp;"("&amp;'Llenar datos'!E20 &amp; ")"</f>
        <v>1(2)</v>
      </c>
      <c r="D12" s="38" t="str">
        <f>'Llenar datos'!G20&amp;"("&amp;'Llenar datos'!I20 &amp; ")"</f>
        <v>(0)</v>
      </c>
      <c r="E12" s="38" t="str">
        <f>'Llenar datos'!K20&amp;"("&amp;'Llenar datos'!M20 &amp; ")"</f>
        <v>(0)</v>
      </c>
      <c r="F12" s="38" t="str">
        <f>'Llenar datos'!O20&amp;"("&amp;'Llenar datos'!Q20 &amp; ")"</f>
        <v>1(2)</v>
      </c>
      <c r="G12" s="11"/>
    </row>
    <row r="13" spans="1:7" x14ac:dyDescent="0.25">
      <c r="A13" s="11"/>
      <c r="B13" s="38">
        <f t="shared" si="0"/>
        <v>7</v>
      </c>
      <c r="C13" s="38" t="str">
        <f>'Llenar datos'!C21&amp;"("&amp;'Llenar datos'!E21 &amp; ")"</f>
        <v>(0)</v>
      </c>
      <c r="D13" s="38" t="str">
        <f>'Llenar datos'!G21&amp;"("&amp;'Llenar datos'!I21 &amp; ")"</f>
        <v>1(4)</v>
      </c>
      <c r="E13" s="38" t="str">
        <f>'Llenar datos'!K21&amp;"("&amp;'Llenar datos'!M21 &amp; ")"</f>
        <v>(0)</v>
      </c>
      <c r="F13" s="38" t="str">
        <f>'Llenar datos'!O21&amp;"("&amp;'Llenar datos'!Q21 &amp; ")"</f>
        <v>(0)</v>
      </c>
      <c r="G13" s="11"/>
    </row>
    <row r="14" spans="1:7" x14ac:dyDescent="0.25">
      <c r="A14" s="11"/>
      <c r="B14" s="38">
        <f t="shared" si="0"/>
        <v>8</v>
      </c>
      <c r="C14" s="38" t="str">
        <f>'Llenar datos'!C22&amp;"("&amp;'Llenar datos'!E22 &amp; ")"</f>
        <v>(0)</v>
      </c>
      <c r="D14" s="38" t="str">
        <f>'Llenar datos'!G22&amp;"("&amp;'Llenar datos'!I22 &amp; ")"</f>
        <v>(0)</v>
      </c>
      <c r="E14" s="38" t="str">
        <f>'Llenar datos'!K22&amp;"("&amp;'Llenar datos'!M22 &amp; ")"</f>
        <v>(0)</v>
      </c>
      <c r="F14" s="38" t="str">
        <f>'Llenar datos'!O22&amp;"("&amp;'Llenar datos'!Q22 &amp; ")"</f>
        <v>1(4)</v>
      </c>
      <c r="G14" s="11"/>
    </row>
    <row r="15" spans="1:7" x14ac:dyDescent="0.25">
      <c r="A15" s="11"/>
      <c r="B15" s="38">
        <f t="shared" si="0"/>
        <v>9</v>
      </c>
      <c r="C15" s="38" t="str">
        <f>'Llenar datos'!C23&amp;"("&amp;'Llenar datos'!E23 &amp; ")"</f>
        <v>(0)</v>
      </c>
      <c r="D15" s="38" t="str">
        <f>'Llenar datos'!G23&amp;"("&amp;'Llenar datos'!I23 &amp; ")"</f>
        <v>(0)</v>
      </c>
      <c r="E15" s="38" t="str">
        <f>'Llenar datos'!K23&amp;"("&amp;'Llenar datos'!M23 &amp; ")"</f>
        <v>(0)</v>
      </c>
      <c r="F15" s="38" t="str">
        <f>'Llenar datos'!O23&amp;"("&amp;'Llenar datos'!Q23 &amp; ")"</f>
        <v>1(4)</v>
      </c>
      <c r="G15" s="11"/>
    </row>
    <row r="16" spans="1:7" x14ac:dyDescent="0.25">
      <c r="A16" s="11"/>
      <c r="B16" s="38">
        <f t="shared" si="0"/>
        <v>10</v>
      </c>
      <c r="C16" s="38" t="str">
        <f>'Llenar datos'!C24&amp;"("&amp;'Llenar datos'!E24 &amp; ")"</f>
        <v>(0)</v>
      </c>
      <c r="D16" s="38" t="str">
        <f>'Llenar datos'!G24&amp;"("&amp;'Llenar datos'!I24 &amp; ")"</f>
        <v>(0)</v>
      </c>
      <c r="E16" s="38" t="str">
        <f>'Llenar datos'!K24&amp;"("&amp;'Llenar datos'!M24 &amp; ")"</f>
        <v>(0)</v>
      </c>
      <c r="F16" s="38" t="str">
        <f>'Llenar datos'!O24&amp;"("&amp;'Llenar datos'!Q24 &amp; ")"</f>
        <v>1(4)</v>
      </c>
      <c r="G16" s="11"/>
    </row>
    <row r="17" spans="1:7" x14ac:dyDescent="0.25">
      <c r="A17" s="11"/>
      <c r="B17" s="38">
        <f t="shared" si="0"/>
        <v>11</v>
      </c>
      <c r="C17" s="38" t="str">
        <f>'Llenar datos'!C25&amp;"("&amp;'Llenar datos'!E25 &amp; ")"</f>
        <v>(0)</v>
      </c>
      <c r="D17" s="38" t="str">
        <f>'Llenar datos'!G25&amp;"("&amp;'Llenar datos'!I25 &amp; ")"</f>
        <v>(0)</v>
      </c>
      <c r="E17" s="38" t="str">
        <f>'Llenar datos'!K25&amp;"("&amp;'Llenar datos'!M25 &amp; ")"</f>
        <v>(0)</v>
      </c>
      <c r="F17" s="38" t="str">
        <f>'Llenar datos'!O25&amp;"("&amp;'Llenar datos'!Q25 &amp; ")"</f>
        <v>1(2)</v>
      </c>
      <c r="G17" s="11"/>
    </row>
    <row r="18" spans="1:7" x14ac:dyDescent="0.25">
      <c r="A18" s="11"/>
      <c r="B18" s="38">
        <f t="shared" si="0"/>
        <v>12</v>
      </c>
      <c r="C18" s="38" t="str">
        <f>'Llenar datos'!C26&amp;"("&amp;'Llenar datos'!E26 &amp; ")"</f>
        <v>(0)</v>
      </c>
      <c r="D18" s="38" t="str">
        <f>'Llenar datos'!G26&amp;"("&amp;'Llenar datos'!I26 &amp; ")"</f>
        <v>(0)</v>
      </c>
      <c r="E18" s="38" t="str">
        <f>'Llenar datos'!K26&amp;"("&amp;'Llenar datos'!M26 &amp; ")"</f>
        <v>(0)</v>
      </c>
      <c r="F18" s="38" t="str">
        <f>'Llenar datos'!O26&amp;"("&amp;'Llenar datos'!Q26 &amp; ")"</f>
        <v>1(2)</v>
      </c>
      <c r="G18" s="11"/>
    </row>
    <row r="19" spans="1:7" x14ac:dyDescent="0.25">
      <c r="A19" s="11"/>
      <c r="B19" s="38">
        <f t="shared" si="0"/>
        <v>13</v>
      </c>
      <c r="C19" s="38" t="str">
        <f>'Llenar datos'!C27&amp;"("&amp;'Llenar datos'!E27 &amp; ")"</f>
        <v>(0)</v>
      </c>
      <c r="D19" s="38" t="str">
        <f>'Llenar datos'!G27&amp;"("&amp;'Llenar datos'!I27 &amp; ")"</f>
        <v>(0)</v>
      </c>
      <c r="E19" s="38" t="str">
        <f>'Llenar datos'!K27&amp;"("&amp;'Llenar datos'!M27 &amp; ")"</f>
        <v>(0)</v>
      </c>
      <c r="F19" s="38" t="str">
        <f>'Llenar datos'!O27&amp;"("&amp;'Llenar datos'!Q27 &amp; ")"</f>
        <v>1(2)</v>
      </c>
      <c r="G19" s="11"/>
    </row>
    <row r="20" spans="1:7" x14ac:dyDescent="0.25">
      <c r="A20" s="11"/>
      <c r="B20" s="38">
        <f t="shared" si="0"/>
        <v>14</v>
      </c>
      <c r="C20" s="38" t="str">
        <f>'Llenar datos'!C28&amp;"("&amp;'Llenar datos'!E28 &amp; ")"</f>
        <v>(0)</v>
      </c>
      <c r="D20" s="38" t="str">
        <f>'Llenar datos'!G28&amp;"("&amp;'Llenar datos'!I28 &amp; ")"</f>
        <v>(0)</v>
      </c>
      <c r="E20" s="38" t="str">
        <f>'Llenar datos'!K28&amp;"("&amp;'Llenar datos'!M28 &amp; ")"</f>
        <v>(0)</v>
      </c>
      <c r="F20" s="38" t="str">
        <f>'Llenar datos'!O28&amp;"("&amp;'Llenar datos'!Q28 &amp; ")"</f>
        <v>1(2)</v>
      </c>
      <c r="G20" s="11"/>
    </row>
    <row r="21" spans="1:7" x14ac:dyDescent="0.25">
      <c r="A21" s="11"/>
      <c r="B21" s="38">
        <f t="shared" si="0"/>
        <v>15</v>
      </c>
      <c r="C21" s="38" t="str">
        <f>'Llenar datos'!C29&amp;"("&amp;'Llenar datos'!E29 &amp; ")"</f>
        <v>(0)</v>
      </c>
      <c r="D21" s="38" t="str">
        <f>'Llenar datos'!G29&amp;"("&amp;'Llenar datos'!I29 &amp; ")"</f>
        <v>(0)</v>
      </c>
      <c r="E21" s="38" t="str">
        <f>'Llenar datos'!K29&amp;"("&amp;'Llenar datos'!M29 &amp; ")"</f>
        <v>(0)</v>
      </c>
      <c r="F21" s="38" t="str">
        <f>'Llenar datos'!O29&amp;"("&amp;'Llenar datos'!Q29 &amp; ")"</f>
        <v>1(2)</v>
      </c>
      <c r="G21" s="11"/>
    </row>
    <row r="22" spans="1:7" x14ac:dyDescent="0.25">
      <c r="A22" s="11"/>
      <c r="B22" s="38">
        <f t="shared" si="0"/>
        <v>16</v>
      </c>
      <c r="C22" s="38" t="str">
        <f>'Llenar datos'!C30&amp;"("&amp;'Llenar datos'!E30 &amp; ")"</f>
        <v>(0)</v>
      </c>
      <c r="D22" s="38" t="str">
        <f>'Llenar datos'!G30&amp;"("&amp;'Llenar datos'!I30 &amp; ")"</f>
        <v>(0)</v>
      </c>
      <c r="E22" s="38" t="str">
        <f>'Llenar datos'!K30&amp;"("&amp;'Llenar datos'!M30 &amp; ")"</f>
        <v>(0)</v>
      </c>
      <c r="F22" s="38" t="str">
        <f>'Llenar datos'!O30&amp;"("&amp;'Llenar datos'!Q30 &amp; ")"</f>
        <v>1(4)</v>
      </c>
      <c r="G22" s="11"/>
    </row>
    <row r="23" spans="1:7" x14ac:dyDescent="0.25">
      <c r="A23" s="11"/>
      <c r="B23" s="61"/>
      <c r="C23" s="61"/>
      <c r="D23" s="59"/>
      <c r="E23" s="59"/>
      <c r="F23" s="59"/>
      <c r="G23" s="11"/>
    </row>
    <row r="24" spans="1:7" x14ac:dyDescent="0.25">
      <c r="A24" s="13" t="s">
        <v>242</v>
      </c>
      <c r="B24" s="60" t="str">
        <f>'Llenar datos'!B7</f>
        <v>Computación</v>
      </c>
      <c r="C24" s="11"/>
      <c r="D24" s="11"/>
      <c r="E24" s="11"/>
      <c r="F24" s="11"/>
      <c r="G24" s="11"/>
    </row>
    <row r="25" spans="1:7" x14ac:dyDescent="0.25">
      <c r="A25" s="13" t="s">
        <v>34</v>
      </c>
      <c r="B25" s="35">
        <f>horasConf</f>
        <v>4</v>
      </c>
      <c r="C25" s="11" t="s">
        <v>35</v>
      </c>
      <c r="D25" s="11"/>
      <c r="E25" s="11"/>
      <c r="F25" s="11"/>
      <c r="G25" s="11"/>
    </row>
    <row r="26" spans="1:7" x14ac:dyDescent="0.25">
      <c r="A26" s="13" t="s">
        <v>46</v>
      </c>
      <c r="B26" s="35">
        <f>horasCP</f>
        <v>4</v>
      </c>
      <c r="C26" s="11" t="s">
        <v>35</v>
      </c>
      <c r="D26" s="11"/>
      <c r="E26" s="11"/>
      <c r="F26" s="11"/>
      <c r="G26" s="11"/>
    </row>
    <row r="27" spans="1:7" x14ac:dyDescent="0.25">
      <c r="A27" s="13" t="s">
        <v>36</v>
      </c>
      <c r="B27" s="35">
        <f>horasSemi</f>
        <v>0</v>
      </c>
      <c r="C27" s="11" t="s">
        <v>35</v>
      </c>
      <c r="D27" s="11"/>
      <c r="E27" s="11"/>
      <c r="F27" s="11"/>
      <c r="G27" s="11"/>
    </row>
    <row r="28" spans="1:7" x14ac:dyDescent="0.25">
      <c r="A28" s="13" t="s">
        <v>37</v>
      </c>
      <c r="B28" s="35">
        <f>horasLab</f>
        <v>44</v>
      </c>
      <c r="C28" s="11" t="s">
        <v>35</v>
      </c>
      <c r="D28" s="11"/>
      <c r="E28" s="11"/>
      <c r="F28" s="11"/>
      <c r="G28" s="11"/>
    </row>
    <row r="29" spans="1:7" x14ac:dyDescent="0.25">
      <c r="A29" s="13" t="s">
        <v>38</v>
      </c>
      <c r="B29" s="35">
        <f>horasEval</f>
        <v>8</v>
      </c>
      <c r="C29" s="11" t="s">
        <v>35</v>
      </c>
      <c r="D29" s="11"/>
      <c r="E29" s="11"/>
      <c r="F29" s="11"/>
      <c r="G29" s="11"/>
    </row>
    <row r="30" spans="1:7" x14ac:dyDescent="0.25">
      <c r="A30" s="13" t="s">
        <v>39</v>
      </c>
      <c r="B30" s="35">
        <f>horasTotalReal</f>
        <v>52</v>
      </c>
      <c r="C30" s="11" t="s">
        <v>40</v>
      </c>
      <c r="D30" s="11"/>
      <c r="E30" s="11"/>
      <c r="F30" s="11"/>
      <c r="G30" s="11"/>
    </row>
    <row r="31" spans="1:7" x14ac:dyDescent="0.25">
      <c r="A31" s="4"/>
    </row>
    <row r="32" spans="1:7" x14ac:dyDescent="0.25">
      <c r="A32" s="31" t="s">
        <v>54</v>
      </c>
    </row>
    <row r="33" spans="1:1" x14ac:dyDescent="0.25">
      <c r="A33" s="19" t="s">
        <v>51</v>
      </c>
    </row>
    <row r="34" spans="1:1" x14ac:dyDescent="0.25">
      <c r="A34" s="4" t="s">
        <v>52</v>
      </c>
    </row>
    <row r="35" spans="1:1" x14ac:dyDescent="0.25">
      <c r="A35" s="4" t="s">
        <v>53</v>
      </c>
    </row>
    <row r="36" spans="1:1" x14ac:dyDescent="0.25">
      <c r="A36" s="4"/>
    </row>
    <row r="37" spans="1:1" x14ac:dyDescent="0.25">
      <c r="A37" s="32" t="s">
        <v>55</v>
      </c>
    </row>
    <row r="40" spans="1:1" x14ac:dyDescent="0.25">
      <c r="A40" s="34" t="s">
        <v>56</v>
      </c>
    </row>
    <row r="43" spans="1:1" x14ac:dyDescent="0.25">
      <c r="A43" s="34" t="s">
        <v>57</v>
      </c>
    </row>
    <row r="44" spans="1:1" x14ac:dyDescent="0.25">
      <c r="A44" s="34" t="s">
        <v>58</v>
      </c>
    </row>
    <row r="47" spans="1:1" x14ac:dyDescent="0.25">
      <c r="A47" s="34" t="s">
        <v>59</v>
      </c>
    </row>
    <row r="49" spans="1:6" x14ac:dyDescent="0.25">
      <c r="A49" s="34" t="s">
        <v>60</v>
      </c>
    </row>
    <row r="50" spans="1:6" x14ac:dyDescent="0.25">
      <c r="A50" s="34" t="s">
        <v>61</v>
      </c>
    </row>
    <row r="52" spans="1:6" x14ac:dyDescent="0.25">
      <c r="A52" s="34" t="s">
        <v>62</v>
      </c>
    </row>
    <row r="53" spans="1:6" x14ac:dyDescent="0.25">
      <c r="A53" s="34" t="s">
        <v>64</v>
      </c>
    </row>
    <row r="54" spans="1:6" x14ac:dyDescent="0.25">
      <c r="A54" s="33" t="s">
        <v>63</v>
      </c>
    </row>
    <row r="55" spans="1:6" x14ac:dyDescent="0.25">
      <c r="A55" s="34" t="s">
        <v>65</v>
      </c>
    </row>
    <row r="56" spans="1:6" x14ac:dyDescent="0.25">
      <c r="A56" s="34" t="s">
        <v>66</v>
      </c>
    </row>
    <row r="59" spans="1:6" x14ac:dyDescent="0.25">
      <c r="A59" s="3" t="s">
        <v>68</v>
      </c>
      <c r="F59" s="3" t="s">
        <v>68</v>
      </c>
    </row>
    <row r="60" spans="1:6" x14ac:dyDescent="0.25">
      <c r="A60" s="3" t="s">
        <v>69</v>
      </c>
      <c r="F60" s="3" t="s">
        <v>67</v>
      </c>
    </row>
  </sheetData>
  <sheetProtection algorithmName="SHA-512" hashValue="qINctSLVHBUOPp7sqYqCqvtDBNuGTpuEnN7O967MgJmsz0kWPQhj+I1BoXQU1MswqJhMGRVwRQ69KGz4bYukkw==" saltValue="FBi14GMGLrgribSofkayVw==" spinCount="100000" sheet="1" objects="1" scenarios="1"/>
  <mergeCells count="1">
    <mergeCell ref="C1:E1"/>
  </mergeCells>
  <pageMargins left="0.25" right="0.25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4052107A-BA3F-4C49-8BE3-522DFEECF226}">
            <xm:f>'Llenar datos'!$B$8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117"/>
  <sheetViews>
    <sheetView workbookViewId="0">
      <selection activeCell="N12" sqref="N12"/>
    </sheetView>
  </sheetViews>
  <sheetFormatPr baseColWidth="10" defaultRowHeight="15" x14ac:dyDescent="0.25"/>
  <cols>
    <col min="1" max="1" width="20.85546875" customWidth="1"/>
    <col min="2" max="3" width="34.85546875" customWidth="1"/>
    <col min="4" max="4" width="35.28515625" customWidth="1"/>
    <col min="5" max="5" width="42.140625" customWidth="1"/>
    <col min="6" max="6" width="2.140625" customWidth="1"/>
    <col min="7" max="7" width="30.140625" customWidth="1"/>
    <col min="8" max="8" width="2" style="58" customWidth="1"/>
    <col min="9" max="9" width="29.28515625" customWidth="1"/>
    <col min="10" max="10" width="1.7109375" customWidth="1"/>
    <col min="11" max="11" width="29.5703125" customWidth="1"/>
    <col min="17" max="17" width="11.85546875" bestFit="1" customWidth="1"/>
  </cols>
  <sheetData>
    <row r="1" spans="1:13" x14ac:dyDescent="0.25">
      <c r="A1" s="2" t="s">
        <v>16</v>
      </c>
      <c r="B1" s="2" t="s">
        <v>243</v>
      </c>
      <c r="C1" s="2" t="s">
        <v>244</v>
      </c>
      <c r="D1" s="2" t="s">
        <v>245</v>
      </c>
      <c r="E1" s="2" t="s">
        <v>246</v>
      </c>
      <c r="F1" s="2"/>
      <c r="G1" s="2" t="s">
        <v>247</v>
      </c>
      <c r="H1" s="57"/>
      <c r="I1" s="2" t="s">
        <v>248</v>
      </c>
      <c r="J1" s="2"/>
      <c r="K1" s="57" t="s">
        <v>249</v>
      </c>
      <c r="L1" s="57" t="s">
        <v>250</v>
      </c>
      <c r="M1" s="57" t="s">
        <v>85</v>
      </c>
    </row>
    <row r="2" spans="1:13" x14ac:dyDescent="0.25">
      <c r="A2" t="s">
        <v>19</v>
      </c>
      <c r="B2" t="s">
        <v>86</v>
      </c>
      <c r="C2" t="s">
        <v>160</v>
      </c>
      <c r="D2" t="s">
        <v>165</v>
      </c>
      <c r="E2" t="s">
        <v>85</v>
      </c>
      <c r="G2" t="s">
        <v>139</v>
      </c>
      <c r="I2" t="s">
        <v>176</v>
      </c>
      <c r="K2" t="s">
        <v>85</v>
      </c>
      <c r="L2">
        <v>52</v>
      </c>
    </row>
    <row r="3" spans="1:13" x14ac:dyDescent="0.25">
      <c r="A3" t="s">
        <v>17</v>
      </c>
      <c r="B3" t="s">
        <v>87</v>
      </c>
      <c r="C3" t="s">
        <v>161</v>
      </c>
      <c r="D3" t="s">
        <v>166</v>
      </c>
      <c r="E3" t="s">
        <v>88</v>
      </c>
      <c r="G3" t="s">
        <v>140</v>
      </c>
      <c r="I3" t="s">
        <v>177</v>
      </c>
      <c r="K3" t="s">
        <v>88</v>
      </c>
      <c r="L3">
        <v>135</v>
      </c>
    </row>
    <row r="4" spans="1:13" x14ac:dyDescent="0.25">
      <c r="A4" t="s">
        <v>18</v>
      </c>
      <c r="B4" t="s">
        <v>94</v>
      </c>
      <c r="C4" t="s">
        <v>162</v>
      </c>
      <c r="D4" t="s">
        <v>167</v>
      </c>
      <c r="E4" t="s">
        <v>89</v>
      </c>
      <c r="G4" t="s">
        <v>141</v>
      </c>
      <c r="I4" t="s">
        <v>178</v>
      </c>
      <c r="K4" t="s">
        <v>89</v>
      </c>
      <c r="L4">
        <v>118</v>
      </c>
    </row>
    <row r="5" spans="1:13" x14ac:dyDescent="0.25">
      <c r="B5" t="s">
        <v>95</v>
      </c>
      <c r="C5" t="s">
        <v>163</v>
      </c>
      <c r="D5" t="s">
        <v>168</v>
      </c>
      <c r="E5" t="s">
        <v>90</v>
      </c>
      <c r="G5" t="s">
        <v>142</v>
      </c>
      <c r="I5" t="s">
        <v>179</v>
      </c>
      <c r="K5" t="s">
        <v>90</v>
      </c>
      <c r="L5">
        <v>131</v>
      </c>
    </row>
    <row r="6" spans="1:13" x14ac:dyDescent="0.25">
      <c r="B6" t="s">
        <v>97</v>
      </c>
      <c r="C6" t="s">
        <v>164</v>
      </c>
      <c r="D6" t="s">
        <v>169</v>
      </c>
      <c r="E6" t="s">
        <v>91</v>
      </c>
      <c r="G6" t="s">
        <v>143</v>
      </c>
      <c r="I6" t="s">
        <v>180</v>
      </c>
      <c r="K6" t="s">
        <v>91</v>
      </c>
      <c r="L6">
        <v>128</v>
      </c>
    </row>
    <row r="7" spans="1:13" x14ac:dyDescent="0.25">
      <c r="B7" t="s">
        <v>98</v>
      </c>
      <c r="D7" t="s">
        <v>170</v>
      </c>
      <c r="E7" t="s">
        <v>92</v>
      </c>
      <c r="G7" t="s">
        <v>144</v>
      </c>
      <c r="I7" t="s">
        <v>181</v>
      </c>
      <c r="K7" t="s">
        <v>92</v>
      </c>
      <c r="L7">
        <v>149</v>
      </c>
    </row>
    <row r="8" spans="1:13" x14ac:dyDescent="0.25">
      <c r="B8" t="s">
        <v>101</v>
      </c>
      <c r="D8" t="s">
        <v>171</v>
      </c>
      <c r="E8" t="s">
        <v>93</v>
      </c>
      <c r="G8" t="s">
        <v>145</v>
      </c>
      <c r="I8" t="s">
        <v>182</v>
      </c>
      <c r="K8" t="s">
        <v>93</v>
      </c>
      <c r="L8">
        <v>95</v>
      </c>
    </row>
    <row r="9" spans="1:13" x14ac:dyDescent="0.25">
      <c r="B9" t="s">
        <v>105</v>
      </c>
      <c r="D9" t="s">
        <v>172</v>
      </c>
      <c r="E9" t="s">
        <v>94</v>
      </c>
      <c r="G9" t="s">
        <v>146</v>
      </c>
      <c r="I9" t="s">
        <v>183</v>
      </c>
      <c r="K9" t="s">
        <v>94</v>
      </c>
      <c r="L9">
        <v>97</v>
      </c>
    </row>
    <row r="10" spans="1:13" x14ac:dyDescent="0.25">
      <c r="B10" t="s">
        <v>112</v>
      </c>
      <c r="D10" t="s">
        <v>173</v>
      </c>
      <c r="E10" t="s">
        <v>96</v>
      </c>
      <c r="G10" t="s">
        <v>147</v>
      </c>
      <c r="I10" t="s">
        <v>184</v>
      </c>
      <c r="K10" t="s">
        <v>96</v>
      </c>
      <c r="L10">
        <v>82</v>
      </c>
    </row>
    <row r="11" spans="1:13" x14ac:dyDescent="0.25">
      <c r="B11" t="s">
        <v>119</v>
      </c>
      <c r="D11" t="s">
        <v>174</v>
      </c>
      <c r="E11" t="s">
        <v>97</v>
      </c>
      <c r="G11" t="s">
        <v>148</v>
      </c>
      <c r="I11" t="s">
        <v>185</v>
      </c>
      <c r="K11" t="s">
        <v>97</v>
      </c>
      <c r="L11">
        <v>92</v>
      </c>
    </row>
    <row r="12" spans="1:13" x14ac:dyDescent="0.25">
      <c r="B12" t="s">
        <v>125</v>
      </c>
      <c r="D12" t="s">
        <v>175</v>
      </c>
      <c r="E12" t="s">
        <v>99</v>
      </c>
      <c r="G12" t="s">
        <v>149</v>
      </c>
      <c r="I12" t="s">
        <v>186</v>
      </c>
      <c r="K12" t="s">
        <v>99</v>
      </c>
      <c r="L12">
        <v>82</v>
      </c>
    </row>
    <row r="13" spans="1:13" x14ac:dyDescent="0.25">
      <c r="B13" t="s">
        <v>127</v>
      </c>
      <c r="E13" t="s">
        <v>100</v>
      </c>
      <c r="G13" t="s">
        <v>150</v>
      </c>
      <c r="I13" t="s">
        <v>187</v>
      </c>
      <c r="K13" t="s">
        <v>100</v>
      </c>
      <c r="L13">
        <v>85</v>
      </c>
    </row>
    <row r="14" spans="1:13" x14ac:dyDescent="0.25">
      <c r="B14" t="s">
        <v>132</v>
      </c>
      <c r="E14" t="s">
        <v>102</v>
      </c>
      <c r="G14" t="s">
        <v>151</v>
      </c>
      <c r="I14" t="s">
        <v>188</v>
      </c>
      <c r="K14" t="s">
        <v>102</v>
      </c>
      <c r="L14">
        <v>103</v>
      </c>
    </row>
    <row r="15" spans="1:13" x14ac:dyDescent="0.25">
      <c r="E15" t="s">
        <v>103</v>
      </c>
      <c r="G15" t="s">
        <v>152</v>
      </c>
      <c r="I15" t="s">
        <v>189</v>
      </c>
      <c r="K15" t="s">
        <v>103</v>
      </c>
      <c r="L15">
        <v>144</v>
      </c>
    </row>
    <row r="16" spans="1:13" x14ac:dyDescent="0.25">
      <c r="E16" t="s">
        <v>104</v>
      </c>
      <c r="G16" t="s">
        <v>153</v>
      </c>
      <c r="I16" t="s">
        <v>190</v>
      </c>
      <c r="K16" t="s">
        <v>104</v>
      </c>
      <c r="L16">
        <v>86</v>
      </c>
    </row>
    <row r="17" spans="1:12" x14ac:dyDescent="0.25">
      <c r="E17" t="s">
        <v>106</v>
      </c>
      <c r="G17" t="s">
        <v>154</v>
      </c>
      <c r="I17" t="s">
        <v>191</v>
      </c>
      <c r="K17" t="s">
        <v>106</v>
      </c>
      <c r="L17">
        <v>113</v>
      </c>
    </row>
    <row r="18" spans="1:12" x14ac:dyDescent="0.25">
      <c r="E18" t="s">
        <v>107</v>
      </c>
      <c r="G18" t="s">
        <v>155</v>
      </c>
      <c r="I18" t="s">
        <v>192</v>
      </c>
      <c r="K18" t="s">
        <v>107</v>
      </c>
      <c r="L18">
        <v>57</v>
      </c>
    </row>
    <row r="19" spans="1:12" x14ac:dyDescent="0.25">
      <c r="E19" t="s">
        <v>28</v>
      </c>
      <c r="G19" t="s">
        <v>156</v>
      </c>
      <c r="I19" t="s">
        <v>193</v>
      </c>
      <c r="K19" t="s">
        <v>28</v>
      </c>
      <c r="L19">
        <v>132</v>
      </c>
    </row>
    <row r="20" spans="1:12" x14ac:dyDescent="0.25">
      <c r="E20" t="s">
        <v>108</v>
      </c>
      <c r="G20" t="s">
        <v>157</v>
      </c>
      <c r="I20" t="s">
        <v>194</v>
      </c>
      <c r="K20" t="s">
        <v>108</v>
      </c>
      <c r="L20">
        <v>79</v>
      </c>
    </row>
    <row r="21" spans="1:12" x14ac:dyDescent="0.25">
      <c r="E21" t="s">
        <v>109</v>
      </c>
      <c r="G21" t="s">
        <v>158</v>
      </c>
      <c r="I21" t="s">
        <v>195</v>
      </c>
      <c r="K21" t="s">
        <v>109</v>
      </c>
      <c r="L21">
        <v>111</v>
      </c>
    </row>
    <row r="22" spans="1:12" x14ac:dyDescent="0.25">
      <c r="A22" s="43"/>
      <c r="E22" t="s">
        <v>110</v>
      </c>
      <c r="G22" t="s">
        <v>159</v>
      </c>
      <c r="I22" t="s">
        <v>196</v>
      </c>
      <c r="K22" t="s">
        <v>110</v>
      </c>
      <c r="L22">
        <v>91</v>
      </c>
    </row>
    <row r="23" spans="1:12" x14ac:dyDescent="0.25">
      <c r="E23" t="s">
        <v>111</v>
      </c>
      <c r="I23" t="s">
        <v>197</v>
      </c>
      <c r="K23" t="s">
        <v>111</v>
      </c>
      <c r="L23">
        <v>103</v>
      </c>
    </row>
    <row r="24" spans="1:12" x14ac:dyDescent="0.25">
      <c r="E24" t="s">
        <v>113</v>
      </c>
      <c r="I24" t="s">
        <v>198</v>
      </c>
      <c r="K24" t="s">
        <v>113</v>
      </c>
      <c r="L24">
        <v>83</v>
      </c>
    </row>
    <row r="25" spans="1:12" x14ac:dyDescent="0.25">
      <c r="E25" t="s">
        <v>114</v>
      </c>
      <c r="I25" t="s">
        <v>199</v>
      </c>
      <c r="K25" t="s">
        <v>114</v>
      </c>
      <c r="L25">
        <v>102</v>
      </c>
    </row>
    <row r="26" spans="1:12" x14ac:dyDescent="0.25">
      <c r="E26" t="s">
        <v>115</v>
      </c>
      <c r="I26" t="s">
        <v>200</v>
      </c>
      <c r="K26" t="s">
        <v>115</v>
      </c>
      <c r="L26">
        <v>84</v>
      </c>
    </row>
    <row r="27" spans="1:12" x14ac:dyDescent="0.25">
      <c r="E27" t="s">
        <v>116</v>
      </c>
      <c r="I27" t="s">
        <v>201</v>
      </c>
      <c r="K27" t="s">
        <v>116</v>
      </c>
      <c r="L27">
        <v>122</v>
      </c>
    </row>
    <row r="28" spans="1:12" x14ac:dyDescent="0.25">
      <c r="E28" t="s">
        <v>117</v>
      </c>
      <c r="I28" t="s">
        <v>202</v>
      </c>
      <c r="K28" t="s">
        <v>117</v>
      </c>
      <c r="L28">
        <v>63</v>
      </c>
    </row>
    <row r="29" spans="1:12" x14ac:dyDescent="0.25">
      <c r="E29" t="s">
        <v>118</v>
      </c>
      <c r="I29" t="s">
        <v>203</v>
      </c>
      <c r="K29" t="s">
        <v>118</v>
      </c>
      <c r="L29">
        <v>124</v>
      </c>
    </row>
    <row r="30" spans="1:12" x14ac:dyDescent="0.25">
      <c r="E30" t="s">
        <v>120</v>
      </c>
      <c r="I30" t="s">
        <v>204</v>
      </c>
      <c r="K30" t="s">
        <v>120</v>
      </c>
      <c r="L30">
        <v>68</v>
      </c>
    </row>
    <row r="31" spans="1:12" x14ac:dyDescent="0.25">
      <c r="E31" t="s">
        <v>121</v>
      </c>
      <c r="I31" t="s">
        <v>205</v>
      </c>
      <c r="K31" t="s">
        <v>121</v>
      </c>
      <c r="L31">
        <v>84</v>
      </c>
    </row>
    <row r="32" spans="1:12" x14ac:dyDescent="0.25">
      <c r="E32" t="s">
        <v>122</v>
      </c>
      <c r="I32" t="s">
        <v>206</v>
      </c>
      <c r="K32" t="s">
        <v>122</v>
      </c>
      <c r="L32">
        <v>113</v>
      </c>
    </row>
    <row r="33" spans="5:12" x14ac:dyDescent="0.25">
      <c r="E33" t="s">
        <v>123</v>
      </c>
      <c r="I33" t="s">
        <v>207</v>
      </c>
      <c r="K33" t="s">
        <v>123</v>
      </c>
      <c r="L33">
        <v>61</v>
      </c>
    </row>
    <row r="34" spans="5:12" x14ac:dyDescent="0.25">
      <c r="E34" t="s">
        <v>124</v>
      </c>
      <c r="I34" t="s">
        <v>208</v>
      </c>
      <c r="K34" t="s">
        <v>124</v>
      </c>
      <c r="L34">
        <v>123</v>
      </c>
    </row>
    <row r="35" spans="5:12" x14ac:dyDescent="0.25">
      <c r="E35" t="s">
        <v>125</v>
      </c>
      <c r="I35" t="s">
        <v>209</v>
      </c>
      <c r="K35" t="s">
        <v>125</v>
      </c>
      <c r="L35">
        <v>62</v>
      </c>
    </row>
    <row r="36" spans="5:12" x14ac:dyDescent="0.25">
      <c r="E36" t="s">
        <v>126</v>
      </c>
      <c r="I36" t="s">
        <v>210</v>
      </c>
      <c r="K36" t="s">
        <v>126</v>
      </c>
      <c r="L36">
        <v>65</v>
      </c>
    </row>
    <row r="37" spans="5:12" x14ac:dyDescent="0.25">
      <c r="E37" t="s">
        <v>128</v>
      </c>
      <c r="I37" t="s">
        <v>211</v>
      </c>
      <c r="K37" t="s">
        <v>128</v>
      </c>
      <c r="L37">
        <v>56</v>
      </c>
    </row>
    <row r="38" spans="5:12" x14ac:dyDescent="0.25">
      <c r="E38" t="s">
        <v>129</v>
      </c>
      <c r="I38" t="s">
        <v>212</v>
      </c>
      <c r="K38" t="s">
        <v>129</v>
      </c>
      <c r="L38">
        <v>56</v>
      </c>
    </row>
    <row r="39" spans="5:12" x14ac:dyDescent="0.25">
      <c r="E39" t="s">
        <v>130</v>
      </c>
      <c r="I39" t="s">
        <v>213</v>
      </c>
      <c r="K39" t="s">
        <v>130</v>
      </c>
      <c r="L39">
        <v>147</v>
      </c>
    </row>
    <row r="40" spans="5:12" x14ac:dyDescent="0.25">
      <c r="E40" t="s">
        <v>131</v>
      </c>
      <c r="I40" t="s">
        <v>214</v>
      </c>
      <c r="K40" t="s">
        <v>131</v>
      </c>
      <c r="L40">
        <v>60</v>
      </c>
    </row>
    <row r="41" spans="5:12" x14ac:dyDescent="0.25">
      <c r="E41" t="s">
        <v>133</v>
      </c>
      <c r="I41" t="s">
        <v>215</v>
      </c>
      <c r="K41" t="s">
        <v>133</v>
      </c>
      <c r="L41">
        <v>98</v>
      </c>
    </row>
    <row r="42" spans="5:12" x14ac:dyDescent="0.25">
      <c r="E42" t="s">
        <v>134</v>
      </c>
      <c r="I42" t="s">
        <v>216</v>
      </c>
      <c r="K42" t="s">
        <v>134</v>
      </c>
      <c r="L42">
        <v>51</v>
      </c>
    </row>
    <row r="43" spans="5:12" x14ac:dyDescent="0.25">
      <c r="E43" t="s">
        <v>135</v>
      </c>
      <c r="I43" t="s">
        <v>217</v>
      </c>
      <c r="K43" t="s">
        <v>135</v>
      </c>
      <c r="L43">
        <v>149</v>
      </c>
    </row>
    <row r="44" spans="5:12" x14ac:dyDescent="0.25">
      <c r="E44" t="s">
        <v>136</v>
      </c>
      <c r="I44" t="s">
        <v>218</v>
      </c>
      <c r="K44" t="s">
        <v>136</v>
      </c>
      <c r="L44">
        <v>73</v>
      </c>
    </row>
    <row r="45" spans="5:12" x14ac:dyDescent="0.25">
      <c r="E45" t="s">
        <v>137</v>
      </c>
      <c r="I45" t="s">
        <v>219</v>
      </c>
      <c r="K45" t="s">
        <v>137</v>
      </c>
      <c r="L45">
        <v>85</v>
      </c>
    </row>
    <row r="46" spans="5:12" x14ac:dyDescent="0.25">
      <c r="E46" t="s">
        <v>138</v>
      </c>
      <c r="I46" t="s">
        <v>220</v>
      </c>
      <c r="K46" t="s">
        <v>138</v>
      </c>
      <c r="L46">
        <v>63</v>
      </c>
    </row>
    <row r="47" spans="5:12" x14ac:dyDescent="0.25">
      <c r="I47" t="s">
        <v>221</v>
      </c>
      <c r="K47" t="s">
        <v>139</v>
      </c>
      <c r="L47">
        <v>124</v>
      </c>
    </row>
    <row r="48" spans="5:12" x14ac:dyDescent="0.25">
      <c r="I48" t="s">
        <v>222</v>
      </c>
      <c r="K48" t="s">
        <v>140</v>
      </c>
      <c r="L48">
        <v>137</v>
      </c>
    </row>
    <row r="49" spans="9:12" x14ac:dyDescent="0.25">
      <c r="I49" t="s">
        <v>223</v>
      </c>
      <c r="K49" t="s">
        <v>141</v>
      </c>
      <c r="L49">
        <v>111</v>
      </c>
    </row>
    <row r="50" spans="9:12" x14ac:dyDescent="0.25">
      <c r="I50" t="s">
        <v>224</v>
      </c>
      <c r="K50" t="s">
        <v>142</v>
      </c>
      <c r="L50">
        <v>55</v>
      </c>
    </row>
    <row r="51" spans="9:12" x14ac:dyDescent="0.25">
      <c r="I51" t="s">
        <v>225</v>
      </c>
      <c r="K51" t="s">
        <v>143</v>
      </c>
      <c r="L51">
        <v>105</v>
      </c>
    </row>
    <row r="52" spans="9:12" x14ac:dyDescent="0.25">
      <c r="K52" t="s">
        <v>144</v>
      </c>
      <c r="L52">
        <v>96</v>
      </c>
    </row>
    <row r="53" spans="9:12" x14ac:dyDescent="0.25">
      <c r="K53" t="s">
        <v>145</v>
      </c>
      <c r="L53">
        <v>129</v>
      </c>
    </row>
    <row r="54" spans="9:12" x14ac:dyDescent="0.25">
      <c r="K54" t="s">
        <v>146</v>
      </c>
      <c r="L54">
        <v>148</v>
      </c>
    </row>
    <row r="55" spans="9:12" x14ac:dyDescent="0.25">
      <c r="K55" t="s">
        <v>147</v>
      </c>
      <c r="L55">
        <v>110</v>
      </c>
    </row>
    <row r="56" spans="9:12" x14ac:dyDescent="0.25">
      <c r="K56" t="s">
        <v>148</v>
      </c>
      <c r="L56">
        <v>76</v>
      </c>
    </row>
    <row r="57" spans="9:12" x14ac:dyDescent="0.25">
      <c r="K57" t="s">
        <v>149</v>
      </c>
      <c r="L57">
        <v>132</v>
      </c>
    </row>
    <row r="58" spans="9:12" x14ac:dyDescent="0.25">
      <c r="K58" t="s">
        <v>150</v>
      </c>
      <c r="L58">
        <v>101</v>
      </c>
    </row>
    <row r="59" spans="9:12" x14ac:dyDescent="0.25">
      <c r="K59" t="s">
        <v>151</v>
      </c>
      <c r="L59">
        <v>76</v>
      </c>
    </row>
    <row r="60" spans="9:12" x14ac:dyDescent="0.25">
      <c r="K60" t="s">
        <v>152</v>
      </c>
      <c r="L60">
        <v>56</v>
      </c>
    </row>
    <row r="61" spans="9:12" x14ac:dyDescent="0.25">
      <c r="K61" t="s">
        <v>153</v>
      </c>
      <c r="L61">
        <v>117</v>
      </c>
    </row>
    <row r="62" spans="9:12" x14ac:dyDescent="0.25">
      <c r="K62" t="s">
        <v>154</v>
      </c>
      <c r="L62">
        <v>124</v>
      </c>
    </row>
    <row r="63" spans="9:12" x14ac:dyDescent="0.25">
      <c r="K63" t="s">
        <v>155</v>
      </c>
      <c r="L63">
        <v>61</v>
      </c>
    </row>
    <row r="64" spans="9:12" x14ac:dyDescent="0.25">
      <c r="K64" t="s">
        <v>156</v>
      </c>
      <c r="L64">
        <v>128</v>
      </c>
    </row>
    <row r="65" spans="11:12" x14ac:dyDescent="0.25">
      <c r="K65" t="s">
        <v>157</v>
      </c>
      <c r="L65">
        <v>87</v>
      </c>
    </row>
    <row r="66" spans="11:12" x14ac:dyDescent="0.25">
      <c r="K66" t="s">
        <v>158</v>
      </c>
      <c r="L66">
        <v>62</v>
      </c>
    </row>
    <row r="67" spans="11:12" x14ac:dyDescent="0.25">
      <c r="K67" t="s">
        <v>159</v>
      </c>
      <c r="L67">
        <v>61</v>
      </c>
    </row>
    <row r="68" spans="11:12" x14ac:dyDescent="0.25">
      <c r="K68" t="s">
        <v>176</v>
      </c>
      <c r="L68">
        <v>82</v>
      </c>
    </row>
    <row r="69" spans="11:12" x14ac:dyDescent="0.25">
      <c r="K69" t="s">
        <v>177</v>
      </c>
      <c r="L69">
        <v>135</v>
      </c>
    </row>
    <row r="70" spans="11:12" x14ac:dyDescent="0.25">
      <c r="K70" t="s">
        <v>178</v>
      </c>
      <c r="L70">
        <v>72</v>
      </c>
    </row>
    <row r="71" spans="11:12" x14ac:dyDescent="0.25">
      <c r="K71" t="s">
        <v>179</v>
      </c>
      <c r="L71">
        <v>138</v>
      </c>
    </row>
    <row r="72" spans="11:12" x14ac:dyDescent="0.25">
      <c r="K72" t="s">
        <v>180</v>
      </c>
      <c r="L72">
        <v>107</v>
      </c>
    </row>
    <row r="73" spans="11:12" x14ac:dyDescent="0.25">
      <c r="K73" t="s">
        <v>181</v>
      </c>
      <c r="L73">
        <v>81</v>
      </c>
    </row>
    <row r="74" spans="11:12" x14ac:dyDescent="0.25">
      <c r="K74" t="s">
        <v>182</v>
      </c>
      <c r="L74">
        <v>117</v>
      </c>
    </row>
    <row r="75" spans="11:12" x14ac:dyDescent="0.25">
      <c r="K75" t="s">
        <v>183</v>
      </c>
      <c r="L75">
        <v>145</v>
      </c>
    </row>
    <row r="76" spans="11:12" x14ac:dyDescent="0.25">
      <c r="K76" t="s">
        <v>184</v>
      </c>
      <c r="L76">
        <v>121</v>
      </c>
    </row>
    <row r="77" spans="11:12" x14ac:dyDescent="0.25">
      <c r="K77" t="s">
        <v>185</v>
      </c>
      <c r="L77">
        <v>98</v>
      </c>
    </row>
    <row r="78" spans="11:12" x14ac:dyDescent="0.25">
      <c r="K78" t="s">
        <v>186</v>
      </c>
      <c r="L78">
        <v>67</v>
      </c>
    </row>
    <row r="79" spans="11:12" x14ac:dyDescent="0.25">
      <c r="K79" t="s">
        <v>187</v>
      </c>
      <c r="L79">
        <v>131</v>
      </c>
    </row>
    <row r="80" spans="11:12" x14ac:dyDescent="0.25">
      <c r="K80" t="s">
        <v>188</v>
      </c>
      <c r="L80">
        <v>74</v>
      </c>
    </row>
    <row r="81" spans="11:12" x14ac:dyDescent="0.25">
      <c r="K81" t="s">
        <v>189</v>
      </c>
      <c r="L81">
        <v>78</v>
      </c>
    </row>
    <row r="82" spans="11:12" x14ac:dyDescent="0.25">
      <c r="K82" t="s">
        <v>190</v>
      </c>
      <c r="L82">
        <v>86</v>
      </c>
    </row>
    <row r="83" spans="11:12" x14ac:dyDescent="0.25">
      <c r="K83" t="s">
        <v>191</v>
      </c>
      <c r="L83">
        <v>64</v>
      </c>
    </row>
    <row r="84" spans="11:12" x14ac:dyDescent="0.25">
      <c r="K84" t="s">
        <v>192</v>
      </c>
      <c r="L84">
        <v>115</v>
      </c>
    </row>
    <row r="85" spans="11:12" x14ac:dyDescent="0.25">
      <c r="K85" t="s">
        <v>193</v>
      </c>
      <c r="L85">
        <v>58</v>
      </c>
    </row>
    <row r="86" spans="11:12" x14ac:dyDescent="0.25">
      <c r="K86" t="s">
        <v>194</v>
      </c>
      <c r="L86">
        <v>98</v>
      </c>
    </row>
    <row r="87" spans="11:12" x14ac:dyDescent="0.25">
      <c r="K87" t="s">
        <v>195</v>
      </c>
      <c r="L87">
        <v>145</v>
      </c>
    </row>
    <row r="88" spans="11:12" x14ac:dyDescent="0.25">
      <c r="K88" t="s">
        <v>196</v>
      </c>
      <c r="L88">
        <v>107</v>
      </c>
    </row>
    <row r="89" spans="11:12" x14ac:dyDescent="0.25">
      <c r="K89" t="s">
        <v>197</v>
      </c>
      <c r="L89">
        <v>72</v>
      </c>
    </row>
    <row r="90" spans="11:12" x14ac:dyDescent="0.25">
      <c r="K90" t="s">
        <v>198</v>
      </c>
      <c r="L90">
        <v>82</v>
      </c>
    </row>
    <row r="91" spans="11:12" x14ac:dyDescent="0.25">
      <c r="K91" t="s">
        <v>199</v>
      </c>
      <c r="L91">
        <v>127</v>
      </c>
    </row>
    <row r="92" spans="11:12" x14ac:dyDescent="0.25">
      <c r="K92" t="s">
        <v>200</v>
      </c>
      <c r="L92">
        <v>71</v>
      </c>
    </row>
    <row r="93" spans="11:12" x14ac:dyDescent="0.25">
      <c r="K93" t="s">
        <v>201</v>
      </c>
      <c r="L93">
        <v>96</v>
      </c>
    </row>
    <row r="94" spans="11:12" x14ac:dyDescent="0.25">
      <c r="K94" t="s">
        <v>202</v>
      </c>
      <c r="L94">
        <v>88</v>
      </c>
    </row>
    <row r="95" spans="11:12" x14ac:dyDescent="0.25">
      <c r="K95" t="s">
        <v>203</v>
      </c>
      <c r="L95">
        <v>91</v>
      </c>
    </row>
    <row r="96" spans="11:12" x14ac:dyDescent="0.25">
      <c r="K96" t="s">
        <v>204</v>
      </c>
      <c r="L96">
        <v>122</v>
      </c>
    </row>
    <row r="97" spans="11:12" x14ac:dyDescent="0.25">
      <c r="K97" t="s">
        <v>205</v>
      </c>
      <c r="L97">
        <v>142</v>
      </c>
    </row>
    <row r="98" spans="11:12" x14ac:dyDescent="0.25">
      <c r="K98" t="s">
        <v>206</v>
      </c>
      <c r="L98">
        <v>100</v>
      </c>
    </row>
    <row r="99" spans="11:12" x14ac:dyDescent="0.25">
      <c r="K99" t="s">
        <v>207</v>
      </c>
      <c r="L99">
        <v>92</v>
      </c>
    </row>
    <row r="100" spans="11:12" x14ac:dyDescent="0.25">
      <c r="K100" t="s">
        <v>208</v>
      </c>
      <c r="L100">
        <v>148</v>
      </c>
    </row>
    <row r="101" spans="11:12" x14ac:dyDescent="0.25">
      <c r="K101" t="s">
        <v>209</v>
      </c>
      <c r="L101">
        <v>64</v>
      </c>
    </row>
    <row r="102" spans="11:12" x14ac:dyDescent="0.25">
      <c r="K102" t="s">
        <v>210</v>
      </c>
      <c r="L102">
        <v>142</v>
      </c>
    </row>
    <row r="103" spans="11:12" x14ac:dyDescent="0.25">
      <c r="K103" t="s">
        <v>211</v>
      </c>
      <c r="L103">
        <v>54</v>
      </c>
    </row>
    <row r="104" spans="11:12" x14ac:dyDescent="0.25">
      <c r="K104" t="s">
        <v>212</v>
      </c>
      <c r="L104">
        <v>58</v>
      </c>
    </row>
    <row r="105" spans="11:12" x14ac:dyDescent="0.25">
      <c r="K105" t="s">
        <v>213</v>
      </c>
      <c r="L105">
        <v>100</v>
      </c>
    </row>
    <row r="106" spans="11:12" x14ac:dyDescent="0.25">
      <c r="K106" t="s">
        <v>214</v>
      </c>
      <c r="L106">
        <v>88</v>
      </c>
    </row>
    <row r="107" spans="11:12" x14ac:dyDescent="0.25">
      <c r="K107" t="s">
        <v>215</v>
      </c>
      <c r="L107">
        <v>116</v>
      </c>
    </row>
    <row r="108" spans="11:12" x14ac:dyDescent="0.25">
      <c r="K108" t="s">
        <v>216</v>
      </c>
      <c r="L108">
        <v>134</v>
      </c>
    </row>
    <row r="109" spans="11:12" x14ac:dyDescent="0.25">
      <c r="K109" t="s">
        <v>217</v>
      </c>
      <c r="L109">
        <v>78</v>
      </c>
    </row>
    <row r="110" spans="11:12" x14ac:dyDescent="0.25">
      <c r="K110" t="s">
        <v>218</v>
      </c>
      <c r="L110">
        <v>144</v>
      </c>
    </row>
    <row r="111" spans="11:12" x14ac:dyDescent="0.25">
      <c r="K111" t="s">
        <v>219</v>
      </c>
      <c r="L111">
        <v>86</v>
      </c>
    </row>
    <row r="112" spans="11:12" x14ac:dyDescent="0.25">
      <c r="K112" t="s">
        <v>220</v>
      </c>
      <c r="L112">
        <v>130</v>
      </c>
    </row>
    <row r="113" spans="11:12" x14ac:dyDescent="0.25">
      <c r="K113" t="s">
        <v>221</v>
      </c>
      <c r="L113">
        <v>116</v>
      </c>
    </row>
    <row r="114" spans="11:12" x14ac:dyDescent="0.25">
      <c r="K114" t="s">
        <v>222</v>
      </c>
      <c r="L114">
        <v>118</v>
      </c>
    </row>
    <row r="115" spans="11:12" x14ac:dyDescent="0.25">
      <c r="K115" t="s">
        <v>223</v>
      </c>
      <c r="L115">
        <v>146</v>
      </c>
    </row>
    <row r="116" spans="11:12" x14ac:dyDescent="0.25">
      <c r="K116" t="s">
        <v>224</v>
      </c>
      <c r="L116">
        <v>57</v>
      </c>
    </row>
    <row r="117" spans="11:12" x14ac:dyDescent="0.25">
      <c r="K117" t="s">
        <v>225</v>
      </c>
      <c r="L117">
        <v>105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17"/>
  <sheetViews>
    <sheetView topLeftCell="A95" workbookViewId="0">
      <selection activeCell="C2" sqref="C2:D117"/>
    </sheetView>
  </sheetViews>
  <sheetFormatPr baseColWidth="10" defaultRowHeight="15" x14ac:dyDescent="0.25"/>
  <cols>
    <col min="2" max="2" width="35.28515625" customWidth="1"/>
    <col min="3" max="3" width="46.28515625" customWidth="1"/>
    <col min="4" max="4" width="20" customWidth="1"/>
  </cols>
  <sheetData>
    <row r="1" spans="1:4" x14ac:dyDescent="0.25">
      <c r="A1" s="2" t="s">
        <v>16</v>
      </c>
      <c r="B1" s="2" t="s">
        <v>20</v>
      </c>
      <c r="C1" s="2" t="s">
        <v>26</v>
      </c>
      <c r="D1" s="2" t="s">
        <v>9</v>
      </c>
    </row>
    <row r="2" spans="1:4" x14ac:dyDescent="0.25">
      <c r="A2" t="s">
        <v>19</v>
      </c>
      <c r="B2" t="s">
        <v>86</v>
      </c>
      <c r="C2" t="s">
        <v>85</v>
      </c>
      <c r="D2">
        <v>52</v>
      </c>
    </row>
    <row r="3" spans="1:4" x14ac:dyDescent="0.25">
      <c r="A3" t="s">
        <v>19</v>
      </c>
      <c r="B3" t="s">
        <v>86</v>
      </c>
      <c r="C3" t="s">
        <v>88</v>
      </c>
      <c r="D3">
        <v>135</v>
      </c>
    </row>
    <row r="4" spans="1:4" x14ac:dyDescent="0.25">
      <c r="A4" t="s">
        <v>19</v>
      </c>
      <c r="B4" t="s">
        <v>86</v>
      </c>
      <c r="C4" t="s">
        <v>89</v>
      </c>
      <c r="D4">
        <v>118</v>
      </c>
    </row>
    <row r="5" spans="1:4" x14ac:dyDescent="0.25">
      <c r="A5" t="s">
        <v>19</v>
      </c>
      <c r="B5" t="s">
        <v>87</v>
      </c>
      <c r="C5" t="s">
        <v>90</v>
      </c>
      <c r="D5">
        <v>131</v>
      </c>
    </row>
    <row r="6" spans="1:4" x14ac:dyDescent="0.25">
      <c r="A6" t="s">
        <v>19</v>
      </c>
      <c r="B6" t="s">
        <v>87</v>
      </c>
      <c r="C6" t="s">
        <v>91</v>
      </c>
      <c r="D6">
        <v>128</v>
      </c>
    </row>
    <row r="7" spans="1:4" x14ac:dyDescent="0.25">
      <c r="A7" t="s">
        <v>19</v>
      </c>
      <c r="B7" t="s">
        <v>87</v>
      </c>
      <c r="C7" t="s">
        <v>92</v>
      </c>
      <c r="D7">
        <v>149</v>
      </c>
    </row>
    <row r="8" spans="1:4" x14ac:dyDescent="0.25">
      <c r="A8" t="s">
        <v>19</v>
      </c>
      <c r="B8" t="s">
        <v>87</v>
      </c>
      <c r="C8" t="s">
        <v>93</v>
      </c>
      <c r="D8">
        <v>95</v>
      </c>
    </row>
    <row r="9" spans="1:4" x14ac:dyDescent="0.25">
      <c r="A9" t="s">
        <v>19</v>
      </c>
      <c r="B9" t="s">
        <v>94</v>
      </c>
      <c r="C9" t="s">
        <v>94</v>
      </c>
      <c r="D9">
        <v>97</v>
      </c>
    </row>
    <row r="10" spans="1:4" x14ac:dyDescent="0.25">
      <c r="A10" t="s">
        <v>19</v>
      </c>
      <c r="B10" t="s">
        <v>95</v>
      </c>
      <c r="C10" t="s">
        <v>96</v>
      </c>
      <c r="D10">
        <v>82</v>
      </c>
    </row>
    <row r="11" spans="1:4" x14ac:dyDescent="0.25">
      <c r="A11" t="s">
        <v>19</v>
      </c>
      <c r="B11" t="s">
        <v>97</v>
      </c>
      <c r="C11" t="s">
        <v>97</v>
      </c>
      <c r="D11">
        <v>92</v>
      </c>
    </row>
    <row r="12" spans="1:4" x14ac:dyDescent="0.25">
      <c r="A12" t="s">
        <v>19</v>
      </c>
      <c r="B12" t="s">
        <v>98</v>
      </c>
      <c r="C12" t="s">
        <v>99</v>
      </c>
      <c r="D12">
        <v>82</v>
      </c>
    </row>
    <row r="13" spans="1:4" x14ac:dyDescent="0.25">
      <c r="A13" t="s">
        <v>19</v>
      </c>
      <c r="B13" t="s">
        <v>98</v>
      </c>
      <c r="C13" t="s">
        <v>100</v>
      </c>
      <c r="D13">
        <v>85</v>
      </c>
    </row>
    <row r="14" spans="1:4" x14ac:dyDescent="0.25">
      <c r="A14" t="s">
        <v>19</v>
      </c>
      <c r="B14" t="s">
        <v>101</v>
      </c>
      <c r="C14" t="s">
        <v>102</v>
      </c>
      <c r="D14">
        <v>103</v>
      </c>
    </row>
    <row r="15" spans="1:4" x14ac:dyDescent="0.25">
      <c r="A15" t="s">
        <v>19</v>
      </c>
      <c r="B15" t="s">
        <v>101</v>
      </c>
      <c r="C15" t="s">
        <v>103</v>
      </c>
      <c r="D15">
        <v>144</v>
      </c>
    </row>
    <row r="16" spans="1:4" x14ac:dyDescent="0.25">
      <c r="A16" t="s">
        <v>19</v>
      </c>
      <c r="B16" t="s">
        <v>101</v>
      </c>
      <c r="C16" t="s">
        <v>104</v>
      </c>
      <c r="D16">
        <v>86</v>
      </c>
    </row>
    <row r="17" spans="1:4" x14ac:dyDescent="0.25">
      <c r="A17" t="s">
        <v>19</v>
      </c>
      <c r="B17" t="s">
        <v>105</v>
      </c>
      <c r="C17" t="s">
        <v>106</v>
      </c>
      <c r="D17">
        <v>113</v>
      </c>
    </row>
    <row r="18" spans="1:4" x14ac:dyDescent="0.25">
      <c r="A18" t="s">
        <v>19</v>
      </c>
      <c r="B18" t="s">
        <v>105</v>
      </c>
      <c r="C18" t="s">
        <v>107</v>
      </c>
      <c r="D18">
        <v>57</v>
      </c>
    </row>
    <row r="19" spans="1:4" x14ac:dyDescent="0.25">
      <c r="A19" t="s">
        <v>19</v>
      </c>
      <c r="B19" t="s">
        <v>105</v>
      </c>
      <c r="C19" t="s">
        <v>28</v>
      </c>
      <c r="D19">
        <v>132</v>
      </c>
    </row>
    <row r="20" spans="1:4" x14ac:dyDescent="0.25">
      <c r="A20" t="s">
        <v>19</v>
      </c>
      <c r="B20" t="s">
        <v>105</v>
      </c>
      <c r="C20" t="s">
        <v>108</v>
      </c>
      <c r="D20">
        <v>79</v>
      </c>
    </row>
    <row r="21" spans="1:4" x14ac:dyDescent="0.25">
      <c r="A21" t="s">
        <v>19</v>
      </c>
      <c r="B21" t="s">
        <v>105</v>
      </c>
      <c r="C21" t="s">
        <v>109</v>
      </c>
      <c r="D21">
        <v>111</v>
      </c>
    </row>
    <row r="22" spans="1:4" x14ac:dyDescent="0.25">
      <c r="A22" t="s">
        <v>19</v>
      </c>
      <c r="B22" t="s">
        <v>105</v>
      </c>
      <c r="C22" t="s">
        <v>110</v>
      </c>
      <c r="D22">
        <v>91</v>
      </c>
    </row>
    <row r="23" spans="1:4" x14ac:dyDescent="0.25">
      <c r="A23" t="s">
        <v>19</v>
      </c>
      <c r="B23" t="s">
        <v>105</v>
      </c>
      <c r="C23" t="s">
        <v>111</v>
      </c>
      <c r="D23">
        <v>103</v>
      </c>
    </row>
    <row r="24" spans="1:4" x14ac:dyDescent="0.25">
      <c r="A24" t="s">
        <v>19</v>
      </c>
      <c r="B24" t="s">
        <v>112</v>
      </c>
      <c r="C24" t="s">
        <v>113</v>
      </c>
      <c r="D24">
        <v>83</v>
      </c>
    </row>
    <row r="25" spans="1:4" x14ac:dyDescent="0.25">
      <c r="A25" t="s">
        <v>19</v>
      </c>
      <c r="B25" t="s">
        <v>112</v>
      </c>
      <c r="C25" t="s">
        <v>114</v>
      </c>
      <c r="D25">
        <v>102</v>
      </c>
    </row>
    <row r="26" spans="1:4" x14ac:dyDescent="0.25">
      <c r="A26" t="s">
        <v>19</v>
      </c>
      <c r="B26" t="s">
        <v>112</v>
      </c>
      <c r="C26" t="s">
        <v>115</v>
      </c>
      <c r="D26">
        <v>84</v>
      </c>
    </row>
    <row r="27" spans="1:4" x14ac:dyDescent="0.25">
      <c r="A27" t="s">
        <v>19</v>
      </c>
      <c r="B27" t="s">
        <v>112</v>
      </c>
      <c r="C27" t="s">
        <v>116</v>
      </c>
      <c r="D27">
        <v>122</v>
      </c>
    </row>
    <row r="28" spans="1:4" x14ac:dyDescent="0.25">
      <c r="A28" t="s">
        <v>19</v>
      </c>
      <c r="B28" t="s">
        <v>112</v>
      </c>
      <c r="C28" t="s">
        <v>117</v>
      </c>
      <c r="D28">
        <v>63</v>
      </c>
    </row>
    <row r="29" spans="1:4" x14ac:dyDescent="0.25">
      <c r="A29" t="s">
        <v>19</v>
      </c>
      <c r="B29" t="s">
        <v>112</v>
      </c>
      <c r="C29" t="s">
        <v>118</v>
      </c>
      <c r="D29">
        <v>124</v>
      </c>
    </row>
    <row r="30" spans="1:4" x14ac:dyDescent="0.25">
      <c r="A30" t="s">
        <v>19</v>
      </c>
      <c r="B30" t="s">
        <v>119</v>
      </c>
      <c r="C30" t="s">
        <v>120</v>
      </c>
      <c r="D30">
        <v>68</v>
      </c>
    </row>
    <row r="31" spans="1:4" x14ac:dyDescent="0.25">
      <c r="A31" t="s">
        <v>19</v>
      </c>
      <c r="B31" t="s">
        <v>119</v>
      </c>
      <c r="C31" t="s">
        <v>121</v>
      </c>
      <c r="D31">
        <v>84</v>
      </c>
    </row>
    <row r="32" spans="1:4" x14ac:dyDescent="0.25">
      <c r="A32" t="s">
        <v>19</v>
      </c>
      <c r="B32" t="s">
        <v>119</v>
      </c>
      <c r="C32" t="s">
        <v>122</v>
      </c>
      <c r="D32">
        <v>113</v>
      </c>
    </row>
    <row r="33" spans="1:4" x14ac:dyDescent="0.25">
      <c r="A33" t="s">
        <v>19</v>
      </c>
      <c r="B33" t="s">
        <v>119</v>
      </c>
      <c r="C33" t="s">
        <v>123</v>
      </c>
      <c r="D33">
        <v>61</v>
      </c>
    </row>
    <row r="34" spans="1:4" x14ac:dyDescent="0.25">
      <c r="A34" t="s">
        <v>19</v>
      </c>
      <c r="B34" t="s">
        <v>119</v>
      </c>
      <c r="C34" t="s">
        <v>124</v>
      </c>
      <c r="D34">
        <v>123</v>
      </c>
    </row>
    <row r="35" spans="1:4" x14ac:dyDescent="0.25">
      <c r="A35" t="s">
        <v>19</v>
      </c>
      <c r="B35" t="s">
        <v>125</v>
      </c>
      <c r="C35" t="s">
        <v>125</v>
      </c>
      <c r="D35">
        <v>62</v>
      </c>
    </row>
    <row r="36" spans="1:4" x14ac:dyDescent="0.25">
      <c r="A36" t="s">
        <v>19</v>
      </c>
      <c r="B36" t="s">
        <v>125</v>
      </c>
      <c r="C36" t="s">
        <v>126</v>
      </c>
      <c r="D36">
        <v>65</v>
      </c>
    </row>
    <row r="37" spans="1:4" x14ac:dyDescent="0.25">
      <c r="A37" t="s">
        <v>19</v>
      </c>
      <c r="B37" t="s">
        <v>127</v>
      </c>
      <c r="C37" t="s">
        <v>128</v>
      </c>
      <c r="D37">
        <v>56</v>
      </c>
    </row>
    <row r="38" spans="1:4" x14ac:dyDescent="0.25">
      <c r="A38" t="s">
        <v>19</v>
      </c>
      <c r="B38" t="s">
        <v>127</v>
      </c>
      <c r="C38" t="s">
        <v>129</v>
      </c>
      <c r="D38">
        <v>56</v>
      </c>
    </row>
    <row r="39" spans="1:4" x14ac:dyDescent="0.25">
      <c r="A39" t="s">
        <v>19</v>
      </c>
      <c r="B39" t="s">
        <v>127</v>
      </c>
      <c r="C39" t="s">
        <v>130</v>
      </c>
      <c r="D39">
        <v>147</v>
      </c>
    </row>
    <row r="40" spans="1:4" x14ac:dyDescent="0.25">
      <c r="A40" t="s">
        <v>19</v>
      </c>
      <c r="B40" t="s">
        <v>127</v>
      </c>
      <c r="C40" t="s">
        <v>131</v>
      </c>
      <c r="D40">
        <v>60</v>
      </c>
    </row>
    <row r="41" spans="1:4" x14ac:dyDescent="0.25">
      <c r="A41" t="s">
        <v>19</v>
      </c>
      <c r="B41" t="s">
        <v>132</v>
      </c>
      <c r="C41" t="s">
        <v>133</v>
      </c>
      <c r="D41">
        <v>98</v>
      </c>
    </row>
    <row r="42" spans="1:4" x14ac:dyDescent="0.25">
      <c r="A42" t="s">
        <v>19</v>
      </c>
      <c r="B42" t="s">
        <v>132</v>
      </c>
      <c r="C42" t="s">
        <v>134</v>
      </c>
      <c r="D42">
        <v>51</v>
      </c>
    </row>
    <row r="43" spans="1:4" x14ac:dyDescent="0.25">
      <c r="A43" t="s">
        <v>19</v>
      </c>
      <c r="B43" t="s">
        <v>132</v>
      </c>
      <c r="C43" t="s">
        <v>135</v>
      </c>
      <c r="D43">
        <v>149</v>
      </c>
    </row>
    <row r="44" spans="1:4" x14ac:dyDescent="0.25">
      <c r="A44" t="s">
        <v>19</v>
      </c>
      <c r="B44" t="s">
        <v>132</v>
      </c>
      <c r="C44" t="s">
        <v>136</v>
      </c>
      <c r="D44">
        <v>73</v>
      </c>
    </row>
    <row r="45" spans="1:4" x14ac:dyDescent="0.25">
      <c r="A45" t="s">
        <v>19</v>
      </c>
      <c r="B45" t="s">
        <v>132</v>
      </c>
      <c r="C45" t="s">
        <v>137</v>
      </c>
      <c r="D45">
        <v>85</v>
      </c>
    </row>
    <row r="46" spans="1:4" x14ac:dyDescent="0.25">
      <c r="A46" t="s">
        <v>19</v>
      </c>
      <c r="B46" t="s">
        <v>132</v>
      </c>
      <c r="C46" t="s">
        <v>138</v>
      </c>
      <c r="D46">
        <v>63</v>
      </c>
    </row>
    <row r="47" spans="1:4" x14ac:dyDescent="0.25">
      <c r="A47" t="s">
        <v>17</v>
      </c>
      <c r="B47" t="s">
        <v>160</v>
      </c>
      <c r="C47" t="s">
        <v>139</v>
      </c>
      <c r="D47">
        <v>124</v>
      </c>
    </row>
    <row r="48" spans="1:4" x14ac:dyDescent="0.25">
      <c r="A48" t="s">
        <v>17</v>
      </c>
      <c r="B48" t="s">
        <v>160</v>
      </c>
      <c r="C48" t="s">
        <v>140</v>
      </c>
      <c r="D48">
        <v>137</v>
      </c>
    </row>
    <row r="49" spans="1:4" x14ac:dyDescent="0.25">
      <c r="A49" t="s">
        <v>17</v>
      </c>
      <c r="B49" t="s">
        <v>160</v>
      </c>
      <c r="C49" t="s">
        <v>141</v>
      </c>
      <c r="D49">
        <v>111</v>
      </c>
    </row>
    <row r="50" spans="1:4" x14ac:dyDescent="0.25">
      <c r="A50" t="s">
        <v>17</v>
      </c>
      <c r="B50" t="s">
        <v>161</v>
      </c>
      <c r="C50" t="s">
        <v>142</v>
      </c>
      <c r="D50">
        <v>55</v>
      </c>
    </row>
    <row r="51" spans="1:4" x14ac:dyDescent="0.25">
      <c r="A51" t="s">
        <v>17</v>
      </c>
      <c r="B51" t="s">
        <v>161</v>
      </c>
      <c r="C51" t="s">
        <v>143</v>
      </c>
      <c r="D51">
        <v>105</v>
      </c>
    </row>
    <row r="52" spans="1:4" x14ac:dyDescent="0.25">
      <c r="A52" t="s">
        <v>17</v>
      </c>
      <c r="B52" t="s">
        <v>161</v>
      </c>
      <c r="C52" t="s">
        <v>144</v>
      </c>
      <c r="D52">
        <v>96</v>
      </c>
    </row>
    <row r="53" spans="1:4" x14ac:dyDescent="0.25">
      <c r="A53" t="s">
        <v>17</v>
      </c>
      <c r="B53" t="s">
        <v>161</v>
      </c>
      <c r="C53" t="s">
        <v>145</v>
      </c>
      <c r="D53">
        <v>129</v>
      </c>
    </row>
    <row r="54" spans="1:4" x14ac:dyDescent="0.25">
      <c r="A54" t="s">
        <v>17</v>
      </c>
      <c r="B54" t="s">
        <v>161</v>
      </c>
      <c r="C54" t="s">
        <v>146</v>
      </c>
      <c r="D54">
        <v>148</v>
      </c>
    </row>
    <row r="55" spans="1:4" x14ac:dyDescent="0.25">
      <c r="A55" t="s">
        <v>17</v>
      </c>
      <c r="B55" t="s">
        <v>161</v>
      </c>
      <c r="C55" t="s">
        <v>147</v>
      </c>
      <c r="D55">
        <v>110</v>
      </c>
    </row>
    <row r="56" spans="1:4" x14ac:dyDescent="0.25">
      <c r="A56" t="s">
        <v>17</v>
      </c>
      <c r="B56" t="s">
        <v>161</v>
      </c>
      <c r="C56" t="s">
        <v>148</v>
      </c>
      <c r="D56">
        <v>76</v>
      </c>
    </row>
    <row r="57" spans="1:4" x14ac:dyDescent="0.25">
      <c r="A57" t="s">
        <v>17</v>
      </c>
      <c r="B57" t="s">
        <v>162</v>
      </c>
      <c r="C57" t="s">
        <v>149</v>
      </c>
      <c r="D57">
        <v>132</v>
      </c>
    </row>
    <row r="58" spans="1:4" x14ac:dyDescent="0.25">
      <c r="A58" t="s">
        <v>17</v>
      </c>
      <c r="B58" t="s">
        <v>162</v>
      </c>
      <c r="C58" t="s">
        <v>150</v>
      </c>
      <c r="D58">
        <v>101</v>
      </c>
    </row>
    <row r="59" spans="1:4" x14ac:dyDescent="0.25">
      <c r="A59" t="s">
        <v>17</v>
      </c>
      <c r="B59" t="s">
        <v>162</v>
      </c>
      <c r="C59" t="s">
        <v>151</v>
      </c>
      <c r="D59">
        <v>76</v>
      </c>
    </row>
    <row r="60" spans="1:4" x14ac:dyDescent="0.25">
      <c r="A60" t="s">
        <v>17</v>
      </c>
      <c r="B60" t="s">
        <v>162</v>
      </c>
      <c r="C60" t="s">
        <v>152</v>
      </c>
      <c r="D60">
        <v>56</v>
      </c>
    </row>
    <row r="61" spans="1:4" x14ac:dyDescent="0.25">
      <c r="A61" t="s">
        <v>17</v>
      </c>
      <c r="B61" t="s">
        <v>163</v>
      </c>
      <c r="C61" t="s">
        <v>153</v>
      </c>
      <c r="D61">
        <v>117</v>
      </c>
    </row>
    <row r="62" spans="1:4" x14ac:dyDescent="0.25">
      <c r="A62" t="s">
        <v>17</v>
      </c>
      <c r="B62" t="s">
        <v>163</v>
      </c>
      <c r="C62" t="s">
        <v>154</v>
      </c>
      <c r="D62">
        <v>124</v>
      </c>
    </row>
    <row r="63" spans="1:4" x14ac:dyDescent="0.25">
      <c r="A63" t="s">
        <v>17</v>
      </c>
      <c r="B63" t="s">
        <v>163</v>
      </c>
      <c r="C63" t="s">
        <v>155</v>
      </c>
      <c r="D63">
        <v>61</v>
      </c>
    </row>
    <row r="64" spans="1:4" x14ac:dyDescent="0.25">
      <c r="A64" t="s">
        <v>17</v>
      </c>
      <c r="B64" t="s">
        <v>163</v>
      </c>
      <c r="C64" t="s">
        <v>156</v>
      </c>
      <c r="D64">
        <v>128</v>
      </c>
    </row>
    <row r="65" spans="1:4" x14ac:dyDescent="0.25">
      <c r="A65" t="s">
        <v>17</v>
      </c>
      <c r="B65" t="s">
        <v>163</v>
      </c>
      <c r="C65" t="s">
        <v>157</v>
      </c>
      <c r="D65">
        <v>87</v>
      </c>
    </row>
    <row r="66" spans="1:4" x14ac:dyDescent="0.25">
      <c r="A66" t="s">
        <v>17</v>
      </c>
      <c r="B66" t="s">
        <v>163</v>
      </c>
      <c r="C66" t="s">
        <v>158</v>
      </c>
      <c r="D66">
        <v>62</v>
      </c>
    </row>
    <row r="67" spans="1:4" x14ac:dyDescent="0.25">
      <c r="A67" t="s">
        <v>17</v>
      </c>
      <c r="B67" t="s">
        <v>164</v>
      </c>
      <c r="C67" t="s">
        <v>159</v>
      </c>
      <c r="D67">
        <v>61</v>
      </c>
    </row>
    <row r="68" spans="1:4" x14ac:dyDescent="0.25">
      <c r="A68" t="s">
        <v>18</v>
      </c>
      <c r="B68" t="s">
        <v>165</v>
      </c>
      <c r="C68" t="s">
        <v>176</v>
      </c>
      <c r="D68">
        <v>82</v>
      </c>
    </row>
    <row r="69" spans="1:4" x14ac:dyDescent="0.25">
      <c r="A69" t="s">
        <v>18</v>
      </c>
      <c r="B69" t="s">
        <v>165</v>
      </c>
      <c r="C69" t="s">
        <v>177</v>
      </c>
      <c r="D69">
        <v>135</v>
      </c>
    </row>
    <row r="70" spans="1:4" x14ac:dyDescent="0.25">
      <c r="A70" t="s">
        <v>18</v>
      </c>
      <c r="B70" t="s">
        <v>165</v>
      </c>
      <c r="C70" t="s">
        <v>178</v>
      </c>
      <c r="D70">
        <v>72</v>
      </c>
    </row>
    <row r="71" spans="1:4" x14ac:dyDescent="0.25">
      <c r="A71" t="s">
        <v>18</v>
      </c>
      <c r="B71" t="s">
        <v>165</v>
      </c>
      <c r="C71" t="s">
        <v>179</v>
      </c>
      <c r="D71">
        <v>138</v>
      </c>
    </row>
    <row r="72" spans="1:4" x14ac:dyDescent="0.25">
      <c r="A72" t="s">
        <v>18</v>
      </c>
      <c r="B72" t="s">
        <v>165</v>
      </c>
      <c r="C72" t="s">
        <v>180</v>
      </c>
      <c r="D72">
        <v>107</v>
      </c>
    </row>
    <row r="73" spans="1:4" x14ac:dyDescent="0.25">
      <c r="A73" t="s">
        <v>18</v>
      </c>
      <c r="B73" t="s">
        <v>166</v>
      </c>
      <c r="C73" t="s">
        <v>181</v>
      </c>
      <c r="D73">
        <v>81</v>
      </c>
    </row>
    <row r="74" spans="1:4" x14ac:dyDescent="0.25">
      <c r="A74" t="s">
        <v>18</v>
      </c>
      <c r="B74" t="s">
        <v>166</v>
      </c>
      <c r="C74" t="s">
        <v>182</v>
      </c>
      <c r="D74">
        <v>117</v>
      </c>
    </row>
    <row r="75" spans="1:4" x14ac:dyDescent="0.25">
      <c r="A75" t="s">
        <v>18</v>
      </c>
      <c r="B75" t="s">
        <v>166</v>
      </c>
      <c r="C75" t="s">
        <v>183</v>
      </c>
      <c r="D75">
        <v>145</v>
      </c>
    </row>
    <row r="76" spans="1:4" x14ac:dyDescent="0.25">
      <c r="A76" t="s">
        <v>18</v>
      </c>
      <c r="B76" t="s">
        <v>166</v>
      </c>
      <c r="C76" t="s">
        <v>184</v>
      </c>
      <c r="D76">
        <v>121</v>
      </c>
    </row>
    <row r="77" spans="1:4" x14ac:dyDescent="0.25">
      <c r="A77" t="s">
        <v>18</v>
      </c>
      <c r="B77" t="s">
        <v>166</v>
      </c>
      <c r="C77" t="s">
        <v>185</v>
      </c>
      <c r="D77">
        <v>98</v>
      </c>
    </row>
    <row r="78" spans="1:4" x14ac:dyDescent="0.25">
      <c r="A78" t="s">
        <v>18</v>
      </c>
      <c r="B78" t="s">
        <v>167</v>
      </c>
      <c r="C78" t="s">
        <v>186</v>
      </c>
      <c r="D78">
        <v>67</v>
      </c>
    </row>
    <row r="79" spans="1:4" x14ac:dyDescent="0.25">
      <c r="A79" t="s">
        <v>18</v>
      </c>
      <c r="B79" t="s">
        <v>167</v>
      </c>
      <c r="C79" t="s">
        <v>187</v>
      </c>
      <c r="D79">
        <v>131</v>
      </c>
    </row>
    <row r="80" spans="1:4" x14ac:dyDescent="0.25">
      <c r="A80" t="s">
        <v>18</v>
      </c>
      <c r="B80" t="s">
        <v>167</v>
      </c>
      <c r="C80" t="s">
        <v>188</v>
      </c>
      <c r="D80">
        <v>74</v>
      </c>
    </row>
    <row r="81" spans="1:4" x14ac:dyDescent="0.25">
      <c r="A81" t="s">
        <v>18</v>
      </c>
      <c r="B81" t="s">
        <v>167</v>
      </c>
      <c r="C81" t="s">
        <v>189</v>
      </c>
      <c r="D81">
        <v>78</v>
      </c>
    </row>
    <row r="82" spans="1:4" x14ac:dyDescent="0.25">
      <c r="A82" t="s">
        <v>18</v>
      </c>
      <c r="B82" t="s">
        <v>167</v>
      </c>
      <c r="C82" t="s">
        <v>190</v>
      </c>
      <c r="D82">
        <v>86</v>
      </c>
    </row>
    <row r="83" spans="1:4" x14ac:dyDescent="0.25">
      <c r="A83" t="s">
        <v>18</v>
      </c>
      <c r="B83" t="s">
        <v>167</v>
      </c>
      <c r="C83" t="s">
        <v>191</v>
      </c>
      <c r="D83">
        <v>64</v>
      </c>
    </row>
    <row r="84" spans="1:4" x14ac:dyDescent="0.25">
      <c r="A84" t="s">
        <v>18</v>
      </c>
      <c r="B84" t="s">
        <v>167</v>
      </c>
      <c r="C84" t="s">
        <v>192</v>
      </c>
      <c r="D84">
        <v>115</v>
      </c>
    </row>
    <row r="85" spans="1:4" x14ac:dyDescent="0.25">
      <c r="A85" t="s">
        <v>18</v>
      </c>
      <c r="B85" t="s">
        <v>168</v>
      </c>
      <c r="C85" t="s">
        <v>193</v>
      </c>
      <c r="D85">
        <v>58</v>
      </c>
    </row>
    <row r="86" spans="1:4" x14ac:dyDescent="0.25">
      <c r="A86" t="s">
        <v>18</v>
      </c>
      <c r="B86" t="s">
        <v>168</v>
      </c>
      <c r="C86" t="s">
        <v>194</v>
      </c>
      <c r="D86">
        <v>98</v>
      </c>
    </row>
    <row r="87" spans="1:4" x14ac:dyDescent="0.25">
      <c r="A87" t="s">
        <v>18</v>
      </c>
      <c r="B87" t="s">
        <v>168</v>
      </c>
      <c r="C87" t="s">
        <v>195</v>
      </c>
      <c r="D87">
        <v>145</v>
      </c>
    </row>
    <row r="88" spans="1:4" x14ac:dyDescent="0.25">
      <c r="A88" t="s">
        <v>18</v>
      </c>
      <c r="B88" t="s">
        <v>168</v>
      </c>
      <c r="C88" t="s">
        <v>196</v>
      </c>
      <c r="D88">
        <v>107</v>
      </c>
    </row>
    <row r="89" spans="1:4" x14ac:dyDescent="0.25">
      <c r="A89" t="s">
        <v>18</v>
      </c>
      <c r="B89" t="s">
        <v>168</v>
      </c>
      <c r="C89" t="s">
        <v>197</v>
      </c>
      <c r="D89">
        <v>72</v>
      </c>
    </row>
    <row r="90" spans="1:4" x14ac:dyDescent="0.25">
      <c r="A90" t="s">
        <v>18</v>
      </c>
      <c r="B90" t="s">
        <v>168</v>
      </c>
      <c r="C90" t="s">
        <v>198</v>
      </c>
      <c r="D90">
        <v>82</v>
      </c>
    </row>
    <row r="91" spans="1:4" x14ac:dyDescent="0.25">
      <c r="A91" t="s">
        <v>18</v>
      </c>
      <c r="B91" t="s">
        <v>169</v>
      </c>
      <c r="C91" t="s">
        <v>199</v>
      </c>
      <c r="D91">
        <v>127</v>
      </c>
    </row>
    <row r="92" spans="1:4" x14ac:dyDescent="0.25">
      <c r="A92" t="s">
        <v>18</v>
      </c>
      <c r="B92" t="s">
        <v>169</v>
      </c>
      <c r="C92" t="s">
        <v>200</v>
      </c>
      <c r="D92">
        <v>71</v>
      </c>
    </row>
    <row r="93" spans="1:4" x14ac:dyDescent="0.25">
      <c r="A93" t="s">
        <v>18</v>
      </c>
      <c r="B93" t="s">
        <v>169</v>
      </c>
      <c r="C93" t="s">
        <v>201</v>
      </c>
      <c r="D93">
        <v>96</v>
      </c>
    </row>
    <row r="94" spans="1:4" x14ac:dyDescent="0.25">
      <c r="A94" t="s">
        <v>18</v>
      </c>
      <c r="B94" t="s">
        <v>169</v>
      </c>
      <c r="C94" t="s">
        <v>202</v>
      </c>
      <c r="D94">
        <v>88</v>
      </c>
    </row>
    <row r="95" spans="1:4" x14ac:dyDescent="0.25">
      <c r="A95" t="s">
        <v>18</v>
      </c>
      <c r="B95" t="s">
        <v>169</v>
      </c>
      <c r="C95" t="s">
        <v>203</v>
      </c>
      <c r="D95">
        <v>91</v>
      </c>
    </row>
    <row r="96" spans="1:4" x14ac:dyDescent="0.25">
      <c r="A96" t="s">
        <v>18</v>
      </c>
      <c r="B96" t="s">
        <v>169</v>
      </c>
      <c r="C96" t="s">
        <v>204</v>
      </c>
      <c r="D96">
        <v>122</v>
      </c>
    </row>
    <row r="97" spans="1:4" x14ac:dyDescent="0.25">
      <c r="A97" t="s">
        <v>18</v>
      </c>
      <c r="B97" t="s">
        <v>169</v>
      </c>
      <c r="C97" t="s">
        <v>205</v>
      </c>
      <c r="D97">
        <v>142</v>
      </c>
    </row>
    <row r="98" spans="1:4" x14ac:dyDescent="0.25">
      <c r="A98" t="s">
        <v>18</v>
      </c>
      <c r="B98" t="s">
        <v>170</v>
      </c>
      <c r="C98" t="s">
        <v>206</v>
      </c>
      <c r="D98">
        <v>100</v>
      </c>
    </row>
    <row r="99" spans="1:4" x14ac:dyDescent="0.25">
      <c r="A99" t="s">
        <v>18</v>
      </c>
      <c r="B99" t="s">
        <v>170</v>
      </c>
      <c r="C99" t="s">
        <v>207</v>
      </c>
      <c r="D99">
        <v>92</v>
      </c>
    </row>
    <row r="100" spans="1:4" x14ac:dyDescent="0.25">
      <c r="A100" t="s">
        <v>18</v>
      </c>
      <c r="B100" t="s">
        <v>170</v>
      </c>
      <c r="C100" t="s">
        <v>208</v>
      </c>
      <c r="D100">
        <v>148</v>
      </c>
    </row>
    <row r="101" spans="1:4" x14ac:dyDescent="0.25">
      <c r="A101" t="s">
        <v>18</v>
      </c>
      <c r="B101" t="s">
        <v>170</v>
      </c>
      <c r="C101" t="s">
        <v>209</v>
      </c>
      <c r="D101">
        <v>64</v>
      </c>
    </row>
    <row r="102" spans="1:4" x14ac:dyDescent="0.25">
      <c r="A102" t="s">
        <v>18</v>
      </c>
      <c r="B102" t="s">
        <v>170</v>
      </c>
      <c r="C102" t="s">
        <v>210</v>
      </c>
      <c r="D102">
        <v>142</v>
      </c>
    </row>
    <row r="103" spans="1:4" x14ac:dyDescent="0.25">
      <c r="A103" t="s">
        <v>18</v>
      </c>
      <c r="B103" t="s">
        <v>171</v>
      </c>
      <c r="C103" t="s">
        <v>211</v>
      </c>
      <c r="D103">
        <v>54</v>
      </c>
    </row>
    <row r="104" spans="1:4" x14ac:dyDescent="0.25">
      <c r="A104" t="s">
        <v>18</v>
      </c>
      <c r="B104" t="s">
        <v>171</v>
      </c>
      <c r="C104" t="s">
        <v>212</v>
      </c>
      <c r="D104">
        <v>58</v>
      </c>
    </row>
    <row r="105" spans="1:4" x14ac:dyDescent="0.25">
      <c r="A105" t="s">
        <v>18</v>
      </c>
      <c r="B105" t="s">
        <v>171</v>
      </c>
      <c r="C105" t="s">
        <v>213</v>
      </c>
      <c r="D105">
        <v>100</v>
      </c>
    </row>
    <row r="106" spans="1:4" x14ac:dyDescent="0.25">
      <c r="A106" t="s">
        <v>18</v>
      </c>
      <c r="B106" t="s">
        <v>172</v>
      </c>
      <c r="C106" t="s">
        <v>214</v>
      </c>
      <c r="D106">
        <v>88</v>
      </c>
    </row>
    <row r="107" spans="1:4" x14ac:dyDescent="0.25">
      <c r="A107" t="s">
        <v>18</v>
      </c>
      <c r="B107" t="s">
        <v>172</v>
      </c>
      <c r="C107" t="s">
        <v>215</v>
      </c>
      <c r="D107">
        <v>116</v>
      </c>
    </row>
    <row r="108" spans="1:4" x14ac:dyDescent="0.25">
      <c r="A108" t="s">
        <v>18</v>
      </c>
      <c r="B108" t="s">
        <v>172</v>
      </c>
      <c r="C108" t="s">
        <v>216</v>
      </c>
      <c r="D108">
        <v>134</v>
      </c>
    </row>
    <row r="109" spans="1:4" x14ac:dyDescent="0.25">
      <c r="A109" t="s">
        <v>18</v>
      </c>
      <c r="B109" t="s">
        <v>173</v>
      </c>
      <c r="C109" t="s">
        <v>217</v>
      </c>
      <c r="D109">
        <v>78</v>
      </c>
    </row>
    <row r="110" spans="1:4" x14ac:dyDescent="0.25">
      <c r="A110" t="s">
        <v>18</v>
      </c>
      <c r="B110" t="s">
        <v>173</v>
      </c>
      <c r="C110" t="s">
        <v>218</v>
      </c>
      <c r="D110">
        <v>144</v>
      </c>
    </row>
    <row r="111" spans="1:4" x14ac:dyDescent="0.25">
      <c r="A111" t="s">
        <v>18</v>
      </c>
      <c r="B111" t="s">
        <v>173</v>
      </c>
      <c r="C111" t="s">
        <v>219</v>
      </c>
      <c r="D111">
        <v>86</v>
      </c>
    </row>
    <row r="112" spans="1:4" x14ac:dyDescent="0.25">
      <c r="A112" t="s">
        <v>18</v>
      </c>
      <c r="B112" t="s">
        <v>174</v>
      </c>
      <c r="C112" t="s">
        <v>220</v>
      </c>
      <c r="D112">
        <v>130</v>
      </c>
    </row>
    <row r="113" spans="1:4" x14ac:dyDescent="0.25">
      <c r="A113" t="s">
        <v>18</v>
      </c>
      <c r="B113" t="s">
        <v>174</v>
      </c>
      <c r="C113" t="s">
        <v>221</v>
      </c>
      <c r="D113">
        <v>116</v>
      </c>
    </row>
    <row r="114" spans="1:4" x14ac:dyDescent="0.25">
      <c r="A114" t="s">
        <v>18</v>
      </c>
      <c r="B114" t="s">
        <v>174</v>
      </c>
      <c r="C114" t="s">
        <v>222</v>
      </c>
      <c r="D114">
        <v>118</v>
      </c>
    </row>
    <row r="115" spans="1:4" x14ac:dyDescent="0.25">
      <c r="A115" t="s">
        <v>18</v>
      </c>
      <c r="B115" t="s">
        <v>175</v>
      </c>
      <c r="C115" t="s">
        <v>223</v>
      </c>
      <c r="D115">
        <v>146</v>
      </c>
    </row>
    <row r="116" spans="1:4" x14ac:dyDescent="0.25">
      <c r="A116" t="s">
        <v>18</v>
      </c>
      <c r="B116" t="s">
        <v>175</v>
      </c>
      <c r="C116" t="s">
        <v>224</v>
      </c>
      <c r="D116">
        <v>57</v>
      </c>
    </row>
    <row r="117" spans="1:4" x14ac:dyDescent="0.25">
      <c r="A117" t="s">
        <v>18</v>
      </c>
      <c r="B117" t="s">
        <v>175</v>
      </c>
      <c r="C117" t="s">
        <v>225</v>
      </c>
      <c r="D117">
        <v>105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128"/>
  <sheetViews>
    <sheetView topLeftCell="E1" workbookViewId="0">
      <selection activeCell="J22" sqref="J22"/>
    </sheetView>
  </sheetViews>
  <sheetFormatPr baseColWidth="10" defaultRowHeight="15" x14ac:dyDescent="0.25"/>
  <cols>
    <col min="4" max="4" width="14.5703125" customWidth="1"/>
    <col min="6" max="6" width="13.7109375" customWidth="1"/>
    <col min="7" max="7" width="3.85546875" customWidth="1"/>
    <col min="8" max="8" width="13.7109375" customWidth="1"/>
    <col min="9" max="9" width="5.140625" customWidth="1"/>
    <col min="10" max="10" width="13.7109375" customWidth="1"/>
    <col min="11" max="11" width="3.85546875" customWidth="1"/>
    <col min="12" max="12" width="13.7109375" customWidth="1"/>
    <col min="13" max="13" width="3.85546875" customWidth="1"/>
  </cols>
  <sheetData>
    <row r="1" spans="1:13" x14ac:dyDescent="0.25">
      <c r="A1" s="2" t="s">
        <v>30</v>
      </c>
      <c r="B1" s="2" t="s">
        <v>22</v>
      </c>
      <c r="C1" s="2" t="s">
        <v>23</v>
      </c>
      <c r="D1" s="2" t="s">
        <v>16</v>
      </c>
      <c r="F1" s="55" t="s">
        <v>71</v>
      </c>
      <c r="G1" s="55"/>
      <c r="H1" s="55" t="s">
        <v>72</v>
      </c>
      <c r="I1" s="55"/>
      <c r="J1" s="56" t="s">
        <v>74</v>
      </c>
      <c r="K1" s="56"/>
      <c r="L1" s="56" t="s">
        <v>73</v>
      </c>
      <c r="M1" s="56"/>
    </row>
    <row r="2" spans="1:13" x14ac:dyDescent="0.25">
      <c r="A2" t="s">
        <v>29</v>
      </c>
      <c r="B2">
        <v>1</v>
      </c>
      <c r="C2" t="s">
        <v>24</v>
      </c>
      <c r="D2" t="s">
        <v>19</v>
      </c>
      <c r="E2">
        <v>1</v>
      </c>
      <c r="F2" t="b">
        <v>0</v>
      </c>
      <c r="G2">
        <f>IF(F2,'Llenar datos'!E15,0)</f>
        <v>0</v>
      </c>
      <c r="H2" t="b">
        <v>0</v>
      </c>
      <c r="I2">
        <f>IF(H2,'Llenar datos'!I15,0)</f>
        <v>0</v>
      </c>
      <c r="J2" t="b">
        <v>0</v>
      </c>
      <c r="K2">
        <f>IF(J2,'Llenar datos'!M15,0)</f>
        <v>0</v>
      </c>
      <c r="L2" t="b">
        <v>0</v>
      </c>
      <c r="M2">
        <f>IF(L2,'Llenar datos'!Q15,0)</f>
        <v>0</v>
      </c>
    </row>
    <row r="3" spans="1:13" ht="15" customHeight="1" x14ac:dyDescent="0.25">
      <c r="A3" t="s">
        <v>31</v>
      </c>
      <c r="B3">
        <v>2</v>
      </c>
      <c r="C3" t="s">
        <v>25</v>
      </c>
      <c r="D3" t="s">
        <v>19</v>
      </c>
      <c r="E3">
        <v>2</v>
      </c>
      <c r="F3" t="b">
        <v>0</v>
      </c>
      <c r="G3">
        <f>IF(F3,'Llenar datos'!E16,0)</f>
        <v>0</v>
      </c>
      <c r="H3" t="b">
        <v>0</v>
      </c>
      <c r="I3">
        <f>IF(H3,'Llenar datos'!I16,0)</f>
        <v>0</v>
      </c>
      <c r="J3" t="b">
        <v>0</v>
      </c>
      <c r="K3">
        <f>IF(J3,'Llenar datos'!M16,0)</f>
        <v>0</v>
      </c>
      <c r="L3" t="b">
        <v>0</v>
      </c>
      <c r="M3">
        <f>IF(L3,'Llenar datos'!Q16,0)</f>
        <v>0</v>
      </c>
    </row>
    <row r="4" spans="1:13" x14ac:dyDescent="0.25">
      <c r="A4" t="s">
        <v>32</v>
      </c>
      <c r="B4">
        <v>3</v>
      </c>
      <c r="D4" t="s">
        <v>19</v>
      </c>
      <c r="E4">
        <v>3</v>
      </c>
      <c r="F4" t="b">
        <v>0</v>
      </c>
      <c r="G4">
        <f>IF(F4,'Llenar datos'!E17,0)</f>
        <v>0</v>
      </c>
      <c r="H4" t="b">
        <v>0</v>
      </c>
      <c r="I4">
        <f>IF(H4,'Llenar datos'!I17,0)</f>
        <v>0</v>
      </c>
      <c r="J4" t="b">
        <v>0</v>
      </c>
      <c r="K4">
        <f>IF(J4,'Llenar datos'!M17,0)</f>
        <v>0</v>
      </c>
      <c r="L4" t="b">
        <v>0</v>
      </c>
      <c r="M4">
        <f>IF(L4,'Llenar datos'!Q17,0)</f>
        <v>0</v>
      </c>
    </row>
    <row r="5" spans="1:13" x14ac:dyDescent="0.25">
      <c r="A5" t="s">
        <v>33</v>
      </c>
      <c r="B5">
        <v>4</v>
      </c>
      <c r="D5" t="s">
        <v>19</v>
      </c>
      <c r="E5">
        <v>4</v>
      </c>
      <c r="F5" t="b">
        <v>0</v>
      </c>
      <c r="G5">
        <f>IF(F5,'Llenar datos'!E18,0)</f>
        <v>0</v>
      </c>
      <c r="H5" t="b">
        <v>0</v>
      </c>
      <c r="I5">
        <f>IF(H5,'Llenar datos'!I18,0)</f>
        <v>0</v>
      </c>
      <c r="J5" t="b">
        <v>0</v>
      </c>
      <c r="K5">
        <f>IF(J5,'Llenar datos'!M18,0)</f>
        <v>0</v>
      </c>
      <c r="L5" t="b">
        <v>0</v>
      </c>
      <c r="M5">
        <f>IF(L5,'Llenar datos'!Q18,0)</f>
        <v>0</v>
      </c>
    </row>
    <row r="6" spans="1:13" x14ac:dyDescent="0.25">
      <c r="D6" t="s">
        <v>19</v>
      </c>
      <c r="E6">
        <v>5</v>
      </c>
      <c r="F6" t="b">
        <v>0</v>
      </c>
      <c r="G6">
        <f>IF(F6,'Llenar datos'!E19,0)</f>
        <v>0</v>
      </c>
      <c r="H6" t="b">
        <v>0</v>
      </c>
      <c r="I6">
        <f>IF(H6,'Llenar datos'!I19,0)</f>
        <v>0</v>
      </c>
      <c r="J6" t="b">
        <v>0</v>
      </c>
      <c r="K6">
        <f>IF(J6,'Llenar datos'!M19,0)</f>
        <v>0</v>
      </c>
      <c r="L6" t="b">
        <v>1</v>
      </c>
      <c r="M6">
        <f>IF(L6,'Llenar datos'!Q19,0)</f>
        <v>2</v>
      </c>
    </row>
    <row r="7" spans="1:13" x14ac:dyDescent="0.25">
      <c r="D7" t="s">
        <v>19</v>
      </c>
      <c r="E7">
        <v>6</v>
      </c>
      <c r="F7" t="b">
        <v>0</v>
      </c>
      <c r="G7">
        <f>IF(F7,'Llenar datos'!E20,0)</f>
        <v>0</v>
      </c>
      <c r="H7" t="b">
        <v>0</v>
      </c>
      <c r="I7">
        <f>IF(H7,'Llenar datos'!I20,0)</f>
        <v>0</v>
      </c>
      <c r="J7" t="b">
        <v>0</v>
      </c>
      <c r="K7">
        <f>IF(J7,'Llenar datos'!M20,0)</f>
        <v>0</v>
      </c>
      <c r="L7" t="b">
        <v>0</v>
      </c>
      <c r="M7">
        <f>IF(L7,'Llenar datos'!Q20,0)</f>
        <v>0</v>
      </c>
    </row>
    <row r="8" spans="1:13" x14ac:dyDescent="0.25">
      <c r="D8" t="s">
        <v>19</v>
      </c>
      <c r="E8">
        <v>7</v>
      </c>
      <c r="F8" t="b">
        <v>0</v>
      </c>
      <c r="G8">
        <f>IF(F8,'Llenar datos'!E21,0)</f>
        <v>0</v>
      </c>
      <c r="H8" t="b">
        <v>0</v>
      </c>
      <c r="I8">
        <f>IF(H8,'Llenar datos'!I21,0)</f>
        <v>0</v>
      </c>
      <c r="J8" t="b">
        <v>0</v>
      </c>
      <c r="K8">
        <f>IF(J8,'Llenar datos'!M21,0)</f>
        <v>0</v>
      </c>
      <c r="L8" t="b">
        <v>0</v>
      </c>
      <c r="M8">
        <f>IF(L8,'Llenar datos'!Q21,0)</f>
        <v>0</v>
      </c>
    </row>
    <row r="9" spans="1:13" x14ac:dyDescent="0.25">
      <c r="D9" t="s">
        <v>19</v>
      </c>
      <c r="E9">
        <v>8</v>
      </c>
      <c r="F9" t="b">
        <v>0</v>
      </c>
      <c r="G9">
        <f>IF(F9,'Llenar datos'!E22,0)</f>
        <v>0</v>
      </c>
      <c r="H9" t="b">
        <v>0</v>
      </c>
      <c r="I9">
        <f>IF(H9,'Llenar datos'!I22,0)</f>
        <v>0</v>
      </c>
      <c r="J9" t="b">
        <v>0</v>
      </c>
      <c r="K9">
        <f>IF(J9,'Llenar datos'!M22,0)</f>
        <v>0</v>
      </c>
      <c r="L9" t="b">
        <v>0</v>
      </c>
      <c r="M9">
        <f>IF(L9,'Llenar datos'!Q22,0)</f>
        <v>0</v>
      </c>
    </row>
    <row r="10" spans="1:13" x14ac:dyDescent="0.25">
      <c r="D10" t="s">
        <v>19</v>
      </c>
      <c r="E10">
        <v>9</v>
      </c>
      <c r="F10" t="b">
        <v>0</v>
      </c>
      <c r="G10">
        <f>IF(F10,'Llenar datos'!E23,0)</f>
        <v>0</v>
      </c>
      <c r="H10" t="b">
        <v>0</v>
      </c>
      <c r="I10">
        <f>IF(H10,'Llenar datos'!I23,0)</f>
        <v>0</v>
      </c>
      <c r="J10" t="b">
        <v>0</v>
      </c>
      <c r="K10">
        <f>IF(J10,'Llenar datos'!M23,0)</f>
        <v>0</v>
      </c>
      <c r="L10" t="b">
        <v>0</v>
      </c>
      <c r="M10">
        <f>IF(L10,'Llenar datos'!Q23,0)</f>
        <v>0</v>
      </c>
    </row>
    <row r="11" spans="1:13" x14ac:dyDescent="0.25">
      <c r="D11" t="s">
        <v>19</v>
      </c>
      <c r="E11">
        <v>10</v>
      </c>
      <c r="F11" t="b">
        <v>0</v>
      </c>
      <c r="G11">
        <f>IF(F11,'Llenar datos'!E24,0)</f>
        <v>0</v>
      </c>
      <c r="H11" t="b">
        <v>0</v>
      </c>
      <c r="I11">
        <f>IF(H11,'Llenar datos'!I24,0)</f>
        <v>0</v>
      </c>
      <c r="J11" t="b">
        <v>0</v>
      </c>
      <c r="K11">
        <f>IF(J11,'Llenar datos'!M24,0)</f>
        <v>0</v>
      </c>
      <c r="L11" t="b">
        <v>0</v>
      </c>
      <c r="M11">
        <f>IF(L11,'Llenar datos'!Q24,0)</f>
        <v>0</v>
      </c>
    </row>
    <row r="12" spans="1:13" x14ac:dyDescent="0.25">
      <c r="D12" t="s">
        <v>19</v>
      </c>
      <c r="E12">
        <v>11</v>
      </c>
      <c r="F12" t="b">
        <v>0</v>
      </c>
      <c r="G12">
        <f>IF(F12,'Llenar datos'!E25,0)</f>
        <v>0</v>
      </c>
      <c r="H12" t="b">
        <v>0</v>
      </c>
      <c r="I12">
        <f>IF(H12,'Llenar datos'!I25,0)</f>
        <v>0</v>
      </c>
      <c r="J12" t="b">
        <v>0</v>
      </c>
      <c r="K12">
        <f>IF(J12,'Llenar datos'!M25,0)</f>
        <v>0</v>
      </c>
      <c r="L12" t="b">
        <v>0</v>
      </c>
      <c r="M12">
        <f>IF(L12,'Llenar datos'!Q25,0)</f>
        <v>0</v>
      </c>
    </row>
    <row r="13" spans="1:13" x14ac:dyDescent="0.25">
      <c r="D13" t="s">
        <v>19</v>
      </c>
      <c r="E13">
        <v>12</v>
      </c>
      <c r="F13" t="b">
        <v>0</v>
      </c>
      <c r="G13">
        <f>IF(F13,'Llenar datos'!E26,0)</f>
        <v>0</v>
      </c>
      <c r="H13" t="b">
        <v>0</v>
      </c>
      <c r="I13">
        <f>IF(H13,'Llenar datos'!I26,0)</f>
        <v>0</v>
      </c>
      <c r="J13" t="b">
        <v>0</v>
      </c>
      <c r="K13">
        <f>IF(J13,'Llenar datos'!M26,0)</f>
        <v>0</v>
      </c>
      <c r="L13" t="b">
        <v>1</v>
      </c>
      <c r="M13">
        <f>IF(L13,'Llenar datos'!Q26,0)</f>
        <v>2</v>
      </c>
    </row>
    <row r="14" spans="1:13" x14ac:dyDescent="0.25">
      <c r="D14" t="s">
        <v>19</v>
      </c>
      <c r="E14">
        <v>13</v>
      </c>
      <c r="F14" t="b">
        <v>0</v>
      </c>
      <c r="G14">
        <f>IF(F14,'Llenar datos'!E27,0)</f>
        <v>0</v>
      </c>
      <c r="H14" t="b">
        <v>0</v>
      </c>
      <c r="I14">
        <f>IF(H14,'Llenar datos'!I27,0)</f>
        <v>0</v>
      </c>
      <c r="J14" t="b">
        <v>0</v>
      </c>
      <c r="K14">
        <f>IF(J14,'Llenar datos'!M27,0)</f>
        <v>0</v>
      </c>
      <c r="L14" t="b">
        <v>0</v>
      </c>
      <c r="M14">
        <f>IF(L14,'Llenar datos'!Q27,0)</f>
        <v>0</v>
      </c>
    </row>
    <row r="15" spans="1:13" x14ac:dyDescent="0.25">
      <c r="D15" t="s">
        <v>19</v>
      </c>
      <c r="E15">
        <v>14</v>
      </c>
      <c r="F15" t="b">
        <v>0</v>
      </c>
      <c r="G15">
        <f>IF(F15,'Llenar datos'!E28,0)</f>
        <v>0</v>
      </c>
      <c r="H15" t="b">
        <v>0</v>
      </c>
      <c r="I15">
        <f>IF(H15,'Llenar datos'!I28,0)</f>
        <v>0</v>
      </c>
      <c r="J15" t="b">
        <v>0</v>
      </c>
      <c r="K15">
        <f>IF(J15,'Llenar datos'!M28,0)</f>
        <v>0</v>
      </c>
      <c r="L15" t="b">
        <v>0</v>
      </c>
      <c r="M15">
        <f>IF(L15,'Llenar datos'!Q28,0)</f>
        <v>0</v>
      </c>
    </row>
    <row r="16" spans="1:13" x14ac:dyDescent="0.25">
      <c r="D16" t="s">
        <v>19</v>
      </c>
      <c r="E16">
        <v>15</v>
      </c>
      <c r="F16" t="b">
        <v>0</v>
      </c>
      <c r="G16">
        <f>IF(F16,'Llenar datos'!E29,0)</f>
        <v>0</v>
      </c>
      <c r="H16" t="b">
        <v>0</v>
      </c>
      <c r="I16">
        <f>IF(H16,'Llenar datos'!I29,0)</f>
        <v>0</v>
      </c>
      <c r="J16" t="b">
        <v>0</v>
      </c>
      <c r="K16">
        <f>IF(J16,'Llenar datos'!M29,0)</f>
        <v>0</v>
      </c>
      <c r="L16" t="b">
        <v>0</v>
      </c>
      <c r="M16">
        <f>IF(L16,'Llenar datos'!Q29,0)</f>
        <v>0</v>
      </c>
    </row>
    <row r="17" spans="4:13" x14ac:dyDescent="0.25">
      <c r="D17" t="s">
        <v>19</v>
      </c>
      <c r="E17">
        <v>16</v>
      </c>
      <c r="F17" t="b">
        <v>0</v>
      </c>
      <c r="G17">
        <f>IF(F17,'Llenar datos'!E30,0)</f>
        <v>0</v>
      </c>
      <c r="H17" t="b">
        <v>0</v>
      </c>
      <c r="I17">
        <f>IF(H17,'Llenar datos'!I30,0)</f>
        <v>0</v>
      </c>
      <c r="J17" t="b">
        <v>0</v>
      </c>
      <c r="K17">
        <f>IF(J17,'Llenar datos'!M30,0)</f>
        <v>0</v>
      </c>
      <c r="L17" t="b">
        <v>1</v>
      </c>
      <c r="M17">
        <f>IF(L17,'Llenar datos'!Q30,0)</f>
        <v>4</v>
      </c>
    </row>
    <row r="18" spans="4:13" x14ac:dyDescent="0.25">
      <c r="D18" t="s">
        <v>19</v>
      </c>
      <c r="E18" s="1" t="s">
        <v>13</v>
      </c>
      <c r="G18">
        <f>SUM(G2:G17)</f>
        <v>0</v>
      </c>
      <c r="I18">
        <f>SUM(I2:I17)</f>
        <v>0</v>
      </c>
      <c r="K18">
        <f>SUM(K2:K17)</f>
        <v>0</v>
      </c>
      <c r="M18">
        <f>SUM(M2:M17)</f>
        <v>8</v>
      </c>
    </row>
    <row r="19" spans="4:13" x14ac:dyDescent="0.25">
      <c r="D19" t="s">
        <v>19</v>
      </c>
      <c r="E19" s="1" t="s">
        <v>75</v>
      </c>
      <c r="F19">
        <f>G18+I18+K18+M18</f>
        <v>8</v>
      </c>
    </row>
    <row r="20" spans="4:13" x14ac:dyDescent="0.25">
      <c r="D20" t="s">
        <v>19</v>
      </c>
    </row>
    <row r="21" spans="4:13" x14ac:dyDescent="0.25">
      <c r="D21" t="s">
        <v>19</v>
      </c>
    </row>
    <row r="22" spans="4:13" x14ac:dyDescent="0.25">
      <c r="D22" t="s">
        <v>19</v>
      </c>
    </row>
    <row r="23" spans="4:13" x14ac:dyDescent="0.25">
      <c r="D23" t="s">
        <v>19</v>
      </c>
    </row>
    <row r="24" spans="4:13" x14ac:dyDescent="0.25">
      <c r="D24" t="s">
        <v>19</v>
      </c>
    </row>
    <row r="25" spans="4:13" x14ac:dyDescent="0.25">
      <c r="D25" t="s">
        <v>19</v>
      </c>
    </row>
    <row r="26" spans="4:13" x14ac:dyDescent="0.25">
      <c r="D26" t="s">
        <v>19</v>
      </c>
    </row>
    <row r="27" spans="4:13" x14ac:dyDescent="0.25">
      <c r="D27" t="s">
        <v>19</v>
      </c>
    </row>
    <row r="28" spans="4:13" x14ac:dyDescent="0.25">
      <c r="D28" t="s">
        <v>19</v>
      </c>
    </row>
    <row r="29" spans="4:13" x14ac:dyDescent="0.25">
      <c r="D29" t="s">
        <v>19</v>
      </c>
    </row>
    <row r="30" spans="4:13" x14ac:dyDescent="0.25">
      <c r="D30" t="s">
        <v>19</v>
      </c>
    </row>
    <row r="31" spans="4:13" x14ac:dyDescent="0.25">
      <c r="D31" t="s">
        <v>19</v>
      </c>
    </row>
    <row r="32" spans="4:13" x14ac:dyDescent="0.25">
      <c r="D32" t="s">
        <v>19</v>
      </c>
    </row>
    <row r="33" spans="4:4" x14ac:dyDescent="0.25">
      <c r="D33" t="s">
        <v>19</v>
      </c>
    </row>
    <row r="34" spans="4:4" x14ac:dyDescent="0.25">
      <c r="D34" t="s">
        <v>19</v>
      </c>
    </row>
    <row r="35" spans="4:4" x14ac:dyDescent="0.25">
      <c r="D35" t="s">
        <v>19</v>
      </c>
    </row>
    <row r="36" spans="4:4" x14ac:dyDescent="0.25">
      <c r="D36" t="s">
        <v>19</v>
      </c>
    </row>
    <row r="37" spans="4:4" x14ac:dyDescent="0.25">
      <c r="D37" t="s">
        <v>19</v>
      </c>
    </row>
    <row r="38" spans="4:4" x14ac:dyDescent="0.25">
      <c r="D38" t="s">
        <v>19</v>
      </c>
    </row>
    <row r="39" spans="4:4" x14ac:dyDescent="0.25">
      <c r="D39" t="s">
        <v>19</v>
      </c>
    </row>
    <row r="40" spans="4:4" x14ac:dyDescent="0.25">
      <c r="D40" t="s">
        <v>19</v>
      </c>
    </row>
    <row r="41" spans="4:4" x14ac:dyDescent="0.25">
      <c r="D41" t="s">
        <v>19</v>
      </c>
    </row>
    <row r="42" spans="4:4" x14ac:dyDescent="0.25">
      <c r="D42" t="s">
        <v>19</v>
      </c>
    </row>
    <row r="43" spans="4:4" x14ac:dyDescent="0.25">
      <c r="D43" t="s">
        <v>19</v>
      </c>
    </row>
    <row r="44" spans="4:4" x14ac:dyDescent="0.25">
      <c r="D44" t="s">
        <v>19</v>
      </c>
    </row>
    <row r="45" spans="4:4" x14ac:dyDescent="0.25">
      <c r="D45" t="s">
        <v>19</v>
      </c>
    </row>
    <row r="46" spans="4:4" x14ac:dyDescent="0.25">
      <c r="D46" t="s">
        <v>19</v>
      </c>
    </row>
    <row r="47" spans="4:4" x14ac:dyDescent="0.25">
      <c r="D47" t="s">
        <v>17</v>
      </c>
    </row>
    <row r="48" spans="4:4" x14ac:dyDescent="0.25">
      <c r="D48" t="s">
        <v>17</v>
      </c>
    </row>
    <row r="49" spans="4:4" x14ac:dyDescent="0.25">
      <c r="D49" t="s">
        <v>17</v>
      </c>
    </row>
    <row r="50" spans="4:4" x14ac:dyDescent="0.25">
      <c r="D50" t="s">
        <v>17</v>
      </c>
    </row>
    <row r="51" spans="4:4" x14ac:dyDescent="0.25">
      <c r="D51" t="s">
        <v>17</v>
      </c>
    </row>
    <row r="52" spans="4:4" x14ac:dyDescent="0.25">
      <c r="D52" t="s">
        <v>17</v>
      </c>
    </row>
    <row r="53" spans="4:4" x14ac:dyDescent="0.25">
      <c r="D53" t="s">
        <v>17</v>
      </c>
    </row>
    <row r="54" spans="4:4" x14ac:dyDescent="0.25">
      <c r="D54" t="s">
        <v>17</v>
      </c>
    </row>
    <row r="55" spans="4:4" x14ac:dyDescent="0.25">
      <c r="D55" t="s">
        <v>17</v>
      </c>
    </row>
    <row r="56" spans="4:4" x14ac:dyDescent="0.25">
      <c r="D56" t="s">
        <v>17</v>
      </c>
    </row>
    <row r="57" spans="4:4" x14ac:dyDescent="0.25">
      <c r="D57" t="s">
        <v>17</v>
      </c>
    </row>
    <row r="58" spans="4:4" x14ac:dyDescent="0.25">
      <c r="D58" t="s">
        <v>17</v>
      </c>
    </row>
    <row r="59" spans="4:4" x14ac:dyDescent="0.25">
      <c r="D59" t="s">
        <v>17</v>
      </c>
    </row>
    <row r="60" spans="4:4" x14ac:dyDescent="0.25">
      <c r="D60" t="s">
        <v>17</v>
      </c>
    </row>
    <row r="61" spans="4:4" x14ac:dyDescent="0.25">
      <c r="D61" t="s">
        <v>17</v>
      </c>
    </row>
    <row r="62" spans="4:4" x14ac:dyDescent="0.25">
      <c r="D62" t="s">
        <v>17</v>
      </c>
    </row>
    <row r="63" spans="4:4" x14ac:dyDescent="0.25">
      <c r="D63" t="s">
        <v>17</v>
      </c>
    </row>
    <row r="64" spans="4:4" x14ac:dyDescent="0.25">
      <c r="D64" t="s">
        <v>17</v>
      </c>
    </row>
    <row r="65" spans="4:4" x14ac:dyDescent="0.25">
      <c r="D65" t="s">
        <v>17</v>
      </c>
    </row>
    <row r="66" spans="4:4" x14ac:dyDescent="0.25">
      <c r="D66" t="s">
        <v>17</v>
      </c>
    </row>
    <row r="67" spans="4:4" x14ac:dyDescent="0.25">
      <c r="D67" t="s">
        <v>17</v>
      </c>
    </row>
    <row r="68" spans="4:4" x14ac:dyDescent="0.25">
      <c r="D68" t="s">
        <v>18</v>
      </c>
    </row>
    <row r="69" spans="4:4" x14ac:dyDescent="0.25">
      <c r="D69" t="s">
        <v>18</v>
      </c>
    </row>
    <row r="70" spans="4:4" x14ac:dyDescent="0.25">
      <c r="D70" t="s">
        <v>18</v>
      </c>
    </row>
    <row r="71" spans="4:4" x14ac:dyDescent="0.25">
      <c r="D71" t="s">
        <v>18</v>
      </c>
    </row>
    <row r="72" spans="4:4" x14ac:dyDescent="0.25">
      <c r="D72" t="s">
        <v>18</v>
      </c>
    </row>
    <row r="73" spans="4:4" x14ac:dyDescent="0.25">
      <c r="D73" t="s">
        <v>18</v>
      </c>
    </row>
    <row r="74" spans="4:4" x14ac:dyDescent="0.25">
      <c r="D74" t="s">
        <v>18</v>
      </c>
    </row>
    <row r="75" spans="4:4" x14ac:dyDescent="0.25">
      <c r="D75" t="s">
        <v>18</v>
      </c>
    </row>
    <row r="76" spans="4:4" x14ac:dyDescent="0.25">
      <c r="D76" t="s">
        <v>18</v>
      </c>
    </row>
    <row r="77" spans="4:4" x14ac:dyDescent="0.25">
      <c r="D77" t="s">
        <v>18</v>
      </c>
    </row>
    <row r="78" spans="4:4" x14ac:dyDescent="0.25">
      <c r="D78" t="s">
        <v>18</v>
      </c>
    </row>
    <row r="79" spans="4:4" x14ac:dyDescent="0.25">
      <c r="D79" t="s">
        <v>18</v>
      </c>
    </row>
    <row r="80" spans="4:4" x14ac:dyDescent="0.25">
      <c r="D80" t="s">
        <v>18</v>
      </c>
    </row>
    <row r="81" spans="4:4" x14ac:dyDescent="0.25">
      <c r="D81" t="s">
        <v>18</v>
      </c>
    </row>
    <row r="82" spans="4:4" x14ac:dyDescent="0.25">
      <c r="D82" t="s">
        <v>18</v>
      </c>
    </row>
    <row r="83" spans="4:4" x14ac:dyDescent="0.25">
      <c r="D83" t="s">
        <v>18</v>
      </c>
    </row>
    <row r="84" spans="4:4" x14ac:dyDescent="0.25">
      <c r="D84" t="s">
        <v>18</v>
      </c>
    </row>
    <row r="85" spans="4:4" x14ac:dyDescent="0.25">
      <c r="D85" t="s">
        <v>18</v>
      </c>
    </row>
    <row r="86" spans="4:4" x14ac:dyDescent="0.25">
      <c r="D86" t="s">
        <v>18</v>
      </c>
    </row>
    <row r="87" spans="4:4" x14ac:dyDescent="0.25">
      <c r="D87" t="s">
        <v>18</v>
      </c>
    </row>
    <row r="88" spans="4:4" x14ac:dyDescent="0.25">
      <c r="D88" t="s">
        <v>18</v>
      </c>
    </row>
    <row r="89" spans="4:4" x14ac:dyDescent="0.25">
      <c r="D89" t="s">
        <v>18</v>
      </c>
    </row>
    <row r="90" spans="4:4" x14ac:dyDescent="0.25">
      <c r="D90" t="s">
        <v>18</v>
      </c>
    </row>
    <row r="91" spans="4:4" x14ac:dyDescent="0.25">
      <c r="D91" t="s">
        <v>18</v>
      </c>
    </row>
    <row r="92" spans="4:4" x14ac:dyDescent="0.25">
      <c r="D92" t="s">
        <v>18</v>
      </c>
    </row>
    <row r="93" spans="4:4" x14ac:dyDescent="0.25">
      <c r="D93" t="s">
        <v>18</v>
      </c>
    </row>
    <row r="94" spans="4:4" x14ac:dyDescent="0.25">
      <c r="D94" t="s">
        <v>18</v>
      </c>
    </row>
    <row r="95" spans="4:4" x14ac:dyDescent="0.25">
      <c r="D95" t="s">
        <v>18</v>
      </c>
    </row>
    <row r="96" spans="4:4" x14ac:dyDescent="0.25">
      <c r="D96" t="s">
        <v>18</v>
      </c>
    </row>
    <row r="97" spans="4:4" x14ac:dyDescent="0.25">
      <c r="D97" t="s">
        <v>18</v>
      </c>
    </row>
    <row r="98" spans="4:4" x14ac:dyDescent="0.25">
      <c r="D98" t="s">
        <v>18</v>
      </c>
    </row>
    <row r="99" spans="4:4" x14ac:dyDescent="0.25">
      <c r="D99" t="s">
        <v>18</v>
      </c>
    </row>
    <row r="100" spans="4:4" x14ac:dyDescent="0.25">
      <c r="D100" t="s">
        <v>18</v>
      </c>
    </row>
    <row r="101" spans="4:4" x14ac:dyDescent="0.25">
      <c r="D101" t="s">
        <v>18</v>
      </c>
    </row>
    <row r="102" spans="4:4" x14ac:dyDescent="0.25">
      <c r="D102" t="s">
        <v>18</v>
      </c>
    </row>
    <row r="103" spans="4:4" x14ac:dyDescent="0.25">
      <c r="D103" t="s">
        <v>18</v>
      </c>
    </row>
    <row r="104" spans="4:4" x14ac:dyDescent="0.25">
      <c r="D104" t="s">
        <v>18</v>
      </c>
    </row>
    <row r="105" spans="4:4" x14ac:dyDescent="0.25">
      <c r="D105" t="s">
        <v>18</v>
      </c>
    </row>
    <row r="106" spans="4:4" x14ac:dyDescent="0.25">
      <c r="D106" t="s">
        <v>18</v>
      </c>
    </row>
    <row r="107" spans="4:4" x14ac:dyDescent="0.25">
      <c r="D107" t="s">
        <v>18</v>
      </c>
    </row>
    <row r="108" spans="4:4" x14ac:dyDescent="0.25">
      <c r="D108" t="s">
        <v>18</v>
      </c>
    </row>
    <row r="109" spans="4:4" x14ac:dyDescent="0.25">
      <c r="D109" t="s">
        <v>18</v>
      </c>
    </row>
    <row r="110" spans="4:4" x14ac:dyDescent="0.25">
      <c r="D110" t="s">
        <v>18</v>
      </c>
    </row>
    <row r="111" spans="4:4" x14ac:dyDescent="0.25">
      <c r="D111" t="s">
        <v>18</v>
      </c>
    </row>
    <row r="112" spans="4:4" x14ac:dyDescent="0.25">
      <c r="D112" t="s">
        <v>18</v>
      </c>
    </row>
    <row r="113" spans="4:4" x14ac:dyDescent="0.25">
      <c r="D113" t="s">
        <v>18</v>
      </c>
    </row>
    <row r="114" spans="4:4" x14ac:dyDescent="0.25">
      <c r="D114" t="s">
        <v>18</v>
      </c>
    </row>
    <row r="115" spans="4:4" x14ac:dyDescent="0.25">
      <c r="D115" t="s">
        <v>18</v>
      </c>
    </row>
    <row r="116" spans="4:4" x14ac:dyDescent="0.25">
      <c r="D116" t="s">
        <v>18</v>
      </c>
    </row>
    <row r="117" spans="4:4" x14ac:dyDescent="0.25">
      <c r="D117" t="s">
        <v>18</v>
      </c>
    </row>
    <row r="127" spans="4:4" x14ac:dyDescent="0.25">
      <c r="D127" s="2" t="s">
        <v>16</v>
      </c>
    </row>
    <row r="128" spans="4:4" x14ac:dyDescent="0.25">
      <c r="D128" t="s">
        <v>18</v>
      </c>
    </row>
  </sheetData>
  <sheetProtection algorithmName="SHA-512" hashValue="9EebIVJSfku8JgXxMdC+pDksnBSNqmseaoxYXZHzvgRA3GzqYQYsZFPfLEG+BcxnEsz8MG2Ql0lCfwUKbm+b/A==" saltValue="6r0N0adcauY80ZmZ7DsewQ==" spinCount="100000" sheet="1" objects="1" scenarios="1"/>
  <autoFilter ref="D1:D117"/>
  <mergeCells count="4">
    <mergeCell ref="F1:G1"/>
    <mergeCell ref="H1:I1"/>
    <mergeCell ref="J1:K1"/>
    <mergeCell ref="L1:M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Llenar datos</vt:lpstr>
      <vt:lpstr>Imprimir</vt:lpstr>
      <vt:lpstr>Listas</vt:lpstr>
      <vt:lpstr>BaseDeDatos</vt:lpstr>
      <vt:lpstr>evals</vt:lpstr>
      <vt:lpstr>Imprimir!Área_de_impresión</vt:lpstr>
      <vt:lpstr>BBM_Asignaturas</vt:lpstr>
      <vt:lpstr>BBM_Disciplinas</vt:lpstr>
      <vt:lpstr>Biología_Asignaturas</vt:lpstr>
      <vt:lpstr>Biología_Disciplinas</vt:lpstr>
      <vt:lpstr>Carreras</vt:lpstr>
      <vt:lpstr>horasConf</vt:lpstr>
      <vt:lpstr>horasCP</vt:lpstr>
      <vt:lpstr>horasEval</vt:lpstr>
      <vt:lpstr>horasLab</vt:lpstr>
      <vt:lpstr>horasSegunPlanE</vt:lpstr>
      <vt:lpstr>horasSemi</vt:lpstr>
      <vt:lpstr>horasTotalReal</vt:lpstr>
      <vt:lpstr>Microbiología_Asignaturas</vt:lpstr>
      <vt:lpstr>Microbiología_Disciplinas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Nadie</dc:creator>
  <cp:lastModifiedBy>Usuario de Windows</cp:lastModifiedBy>
  <cp:lastPrinted>2025-05-27T02:52:51Z</cp:lastPrinted>
  <dcterms:created xsi:type="dcterms:W3CDTF">2025-04-27T23:27:41Z</dcterms:created>
  <dcterms:modified xsi:type="dcterms:W3CDTF">2025-05-28T18:10:35Z</dcterms:modified>
</cp:coreProperties>
</file>